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Data Analysis\Session 5\Project\"/>
    </mc:Choice>
  </mc:AlternateContent>
  <xr:revisionPtr revIDLastSave="0" documentId="13_ncr:1_{C4627728-0509-4242-A1FF-5A2F73A12E47}" xr6:coauthVersionLast="47" xr6:coauthVersionMax="47" xr10:uidLastSave="{00000000-0000-0000-0000-000000000000}"/>
  <bookViews>
    <workbookView xWindow="-120" yWindow="-120" windowWidth="29040" windowHeight="15720" activeTab="6" xr2:uid="{990294BF-121D-473C-BDCE-B150B17CF30C}"/>
  </bookViews>
  <sheets>
    <sheet name="Adidas-US-Interactive-Sales-Pro" sheetId="1" r:id="rId1"/>
    <sheet name="Sheet1" sheetId="4" state="hidden" r:id="rId2"/>
    <sheet name="Sheet2" sheetId="5" state="hidden" r:id="rId3"/>
    <sheet name="Sheet3" sheetId="6" state="hidden" r:id="rId4"/>
    <sheet name="Sheet4" sheetId="7" state="hidden" r:id="rId5"/>
    <sheet name="Pivot Tables" sheetId="2" r:id="rId6"/>
    <sheet name="Dashboard" sheetId="3" r:id="rId7"/>
  </sheets>
  <definedNames>
    <definedName name="_xlnm._FilterDatabase" localSheetId="0" hidden="1">'Adidas-US-Interactive-Sales-Pro'!$A$1:$O$1201</definedName>
    <definedName name="_xlnm._FilterDatabase" localSheetId="5" hidden="1">'Pivot Tables'!$K$44:$P$44</definedName>
    <definedName name="NativeTimeline_Order_Date">#N/A</definedName>
    <definedName name="_xlnm.Print_Area" localSheetId="6">Dashboard!$A$1:$Y$53</definedName>
    <definedName name="Slicer_Gender">#N/A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5" i="2" l="1"/>
  <c r="M46" i="2" s="1"/>
  <c r="V7" i="3"/>
  <c r="M7" i="3"/>
  <c r="J7" i="3"/>
  <c r="S7" i="3"/>
  <c r="G7" i="3"/>
  <c r="M54" i="2" l="1"/>
  <c r="M53" i="2"/>
  <c r="M50" i="2"/>
  <c r="M48" i="2"/>
  <c r="M47" i="2"/>
  <c r="M45" i="2"/>
  <c r="M52" i="2"/>
  <c r="M51" i="2"/>
  <c r="M55" i="2" s="1"/>
  <c r="M49" i="2"/>
  <c r="N45" i="2"/>
  <c r="P7" i="3"/>
  <c r="N46" i="2" l="1"/>
  <c r="N47" i="2" s="1"/>
  <c r="N48" i="2" s="1"/>
  <c r="N49" i="2" s="1"/>
  <c r="N50" i="2" s="1"/>
  <c r="N51" i="2" s="1"/>
  <c r="N52" i="2" s="1"/>
  <c r="N53" i="2" s="1"/>
  <c r="N54" i="2" s="1"/>
</calcChain>
</file>

<file path=xl/sharedStrings.xml><?xml version="1.0" encoding="utf-8"?>
<sst xmlns="http://schemas.openxmlformats.org/spreadsheetml/2006/main" count="20273" uniqueCount="1284">
  <si>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</si>
  <si>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</si>
  <si>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</si>
  <si>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</si>
  <si>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</si>
  <si>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</si>
  <si>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</si>
  <si>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</si>
  <si>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</si>
  <si>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</si>
  <si>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</si>
  <si>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</si>
  <si>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</si>
  <si>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</si>
  <si>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</si>
  <si>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</si>
  <si>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</si>
  <si>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</si>
  <si>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</si>
  <si>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</si>
  <si>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</si>
  <si>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</si>
  <si>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</si>
  <si>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</si>
  <si>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</si>
  <si>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</si>
  <si>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</si>
  <si>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</si>
  <si>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</si>
  <si>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</si>
  <si>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</si>
  <si>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</si>
  <si>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</si>
  <si>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</si>
  <si>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</si>
  <si>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</si>
  <si>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</si>
  <si>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</si>
  <si>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</si>
  <si>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</si>
  <si>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</si>
  <si>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</si>
  <si>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</si>
  <si>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</si>
  <si>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</si>
  <si>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</si>
  <si>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</si>
  <si>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</si>
  <si>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</si>
  <si>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</si>
  <si>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</si>
  <si>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</si>
  <si>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</si>
  <si>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</si>
  <si>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</si>
  <si>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</si>
  <si>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</si>
  <si>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</si>
  <si>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</si>
  <si>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</si>
  <si>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</si>
  <si>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</si>
  <si>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</si>
  <si>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</si>
  <si>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</si>
  <si>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</si>
  <si>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</si>
  <si>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</si>
  <si>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</si>
  <si>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</si>
  <si>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</si>
  <si>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</si>
  <si>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</si>
  <si>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</si>
  <si>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</si>
  <si>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</si>
  <si>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</si>
  <si>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</si>
  <si>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</si>
  <si>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</si>
  <si>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</si>
  <si>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</si>
  <si>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</si>
  <si>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</si>
  <si>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</si>
  <si>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</si>
  <si>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</si>
  <si>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</si>
  <si>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</si>
  <si>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</si>
  <si>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</si>
  <si>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</si>
  <si>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</si>
  <si>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</si>
  <si>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</si>
  <si>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</si>
  <si>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</si>
  <si>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</si>
  <si>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</si>
  <si>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</si>
  <si>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</si>
  <si>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</si>
  <si>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</si>
  <si>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</si>
  <si>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</si>
  <si>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</si>
  <si>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</si>
  <si>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</si>
  <si>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</si>
  <si>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</si>
  <si>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</si>
  <si>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</si>
  <si>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</si>
  <si>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</si>
  <si>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</si>
  <si>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</si>
  <si>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</si>
  <si>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</si>
  <si>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</si>
  <si>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</si>
  <si>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</si>
  <si>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</si>
  <si>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</si>
  <si>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</si>
  <si>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</si>
  <si>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</si>
  <si>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</si>
  <si>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</si>
  <si>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</si>
  <si>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</si>
  <si>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</si>
  <si>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</si>
  <si>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</si>
  <si>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</si>
  <si>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</si>
  <si>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</si>
  <si>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</si>
  <si>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</si>
  <si>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</si>
  <si>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</si>
  <si>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</si>
  <si>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</si>
  <si>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</si>
  <si>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</si>
  <si>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</si>
  <si>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</si>
  <si>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</si>
  <si>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</si>
  <si>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</si>
  <si>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</si>
  <si>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</si>
  <si>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</si>
  <si>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</si>
  <si>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</si>
  <si>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</si>
  <si>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</si>
  <si>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</si>
  <si>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</si>
  <si>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</si>
  <si>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</si>
  <si>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</si>
  <si>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</si>
  <si>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</si>
  <si>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</si>
  <si>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</si>
  <si>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</si>
  <si>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</si>
  <si>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</si>
  <si>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</si>
  <si>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</si>
  <si>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</si>
  <si>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</si>
  <si>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</si>
  <si>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</si>
  <si>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</si>
  <si>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</si>
  <si>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</si>
  <si>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</si>
  <si>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</si>
  <si>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</si>
  <si>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</si>
  <si>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</si>
  <si>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</si>
  <si>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</si>
  <si>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</si>
  <si>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</si>
  <si>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</si>
  <si>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</si>
  <si>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</si>
  <si>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</si>
  <si>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</si>
  <si>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</si>
  <si>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</si>
  <si>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</si>
  <si>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</si>
  <si>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</si>
  <si>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</si>
  <si>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</si>
  <si>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</si>
  <si>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</si>
  <si>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</si>
  <si>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</si>
  <si>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</si>
  <si>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</si>
  <si>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</si>
  <si>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</si>
  <si>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</si>
  <si>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</si>
  <si>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</si>
  <si>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</si>
  <si>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</si>
  <si>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</si>
  <si>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</si>
  <si>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</si>
  <si>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</si>
  <si>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</si>
  <si>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</si>
  <si>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</si>
  <si>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</si>
  <si>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</si>
  <si>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</si>
  <si>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</si>
  <si>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</si>
  <si>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</si>
  <si>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</si>
  <si>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</si>
  <si>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</si>
  <si>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</si>
  <si>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</si>
  <si>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</si>
  <si>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</si>
  <si>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</si>
  <si>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</si>
  <si>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</si>
  <si>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</si>
  <si>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</si>
  <si>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</si>
  <si>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</si>
  <si>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</si>
  <si>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</si>
  <si>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</si>
  <si>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</si>
  <si>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</si>
  <si>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</si>
  <si>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</si>
  <si>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</si>
  <si>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</si>
  <si>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</si>
  <si>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</si>
  <si>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</si>
  <si>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</si>
  <si>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</si>
  <si>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</si>
  <si>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</si>
  <si>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</si>
  <si>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</si>
  <si>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</si>
  <si>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</si>
  <si>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</si>
  <si>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</si>
  <si>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</si>
  <si>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</si>
  <si>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</si>
  <si>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</si>
  <si>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</si>
  <si>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</si>
  <si>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</si>
  <si>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</si>
  <si>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</si>
  <si>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</si>
  <si>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</si>
  <si>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</si>
  <si>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</si>
  <si>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</si>
  <si>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</si>
  <si>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</si>
  <si>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</si>
  <si>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</si>
  <si>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</si>
  <si>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</si>
  <si>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</si>
  <si>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</si>
  <si>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</si>
  <si>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</si>
  <si>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</si>
  <si>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</si>
  <si>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</si>
  <si>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</si>
  <si>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</si>
  <si>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</si>
  <si>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</si>
  <si>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</si>
  <si>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</si>
  <si>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</si>
  <si>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</si>
  <si>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</si>
  <si>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</si>
  <si>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</si>
  <si>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</si>
  <si>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</si>
  <si>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</si>
  <si>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</si>
  <si>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</si>
  <si>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</si>
  <si>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</si>
  <si>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</si>
  <si>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</si>
  <si>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</si>
  <si>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</si>
  <si>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</si>
  <si>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</si>
  <si>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</si>
  <si>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</si>
  <si>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</si>
  <si>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</si>
  <si>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</si>
  <si>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</si>
  <si>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</si>
  <si>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</si>
  <si>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</si>
  <si>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</si>
  <si>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</si>
  <si>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</si>
  <si>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</si>
  <si>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</si>
  <si>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</si>
  <si>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</si>
  <si>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</si>
  <si>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</si>
  <si>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</si>
  <si>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</si>
  <si>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</si>
  <si>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</si>
  <si>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</si>
  <si>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</si>
  <si>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</si>
  <si>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</si>
  <si>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</si>
  <si>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</si>
  <si>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</si>
  <si>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</si>
  <si>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</si>
  <si>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</si>
  <si>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</si>
  <si>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</si>
  <si>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</si>
  <si>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</si>
  <si>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</si>
  <si>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</si>
  <si>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</si>
  <si>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</si>
  <si>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</si>
  <si>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</si>
  <si>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</si>
  <si>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</si>
  <si>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</si>
  <si>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</si>
  <si>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</si>
  <si>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</si>
  <si>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</si>
  <si>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</si>
  <si>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</si>
  <si>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</si>
  <si>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</si>
  <si>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</si>
  <si>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</si>
  <si>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</si>
  <si>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</si>
  <si>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</si>
  <si>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</si>
  <si>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</si>
  <si>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</si>
  <si>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</si>
  <si>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</si>
  <si>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</si>
  <si>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</si>
  <si>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</si>
  <si>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</si>
  <si>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</si>
  <si>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</si>
  <si>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</si>
  <si>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</si>
  <si>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</si>
  <si>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</si>
  <si>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</si>
  <si>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</si>
  <si>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</si>
  <si>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</si>
  <si>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</si>
  <si>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</si>
  <si>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</si>
  <si>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</si>
  <si>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</si>
  <si>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</si>
  <si>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</si>
  <si>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</si>
  <si>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</si>
  <si>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</si>
  <si>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</si>
  <si>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</si>
  <si>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</si>
  <si>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</si>
  <si>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</si>
  <si>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</si>
  <si>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</si>
  <si>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</si>
  <si>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</si>
  <si>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</si>
  <si>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</si>
  <si>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</si>
  <si>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</si>
  <si>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</si>
  <si>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</si>
  <si>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</si>
  <si>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</si>
  <si>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</si>
  <si>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</si>
  <si>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</si>
  <si>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</si>
  <si>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</si>
  <si>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</si>
  <si>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</si>
  <si>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</si>
  <si>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</si>
  <si>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</si>
  <si>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</si>
  <si>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</si>
  <si>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</si>
  <si>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</si>
  <si>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</si>
  <si>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</si>
  <si>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</si>
  <si>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</si>
  <si>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</si>
  <si>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</si>
  <si>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</si>
  <si>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</si>
  <si>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</si>
  <si>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</si>
  <si>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</si>
  <si>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</si>
  <si>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</si>
  <si>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</si>
  <si>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</si>
  <si>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</si>
  <si>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</si>
  <si>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</si>
  <si>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</si>
  <si>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</si>
  <si>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</si>
  <si>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</si>
  <si>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</si>
  <si>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</si>
  <si>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</si>
  <si>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</si>
  <si>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</si>
  <si>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</si>
  <si>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</si>
  <si>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</si>
  <si>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</si>
  <si>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</si>
  <si>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</si>
  <si>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</si>
  <si>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</si>
  <si>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</si>
  <si>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</si>
  <si>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</si>
  <si>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</si>
  <si>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</si>
  <si>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</si>
  <si>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</si>
  <si>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</si>
  <si>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</si>
  <si>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</si>
  <si>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</si>
  <si>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</si>
  <si>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</si>
  <si>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</si>
  <si>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</si>
  <si>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</si>
  <si>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</si>
  <si>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</si>
  <si>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</si>
  <si>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</si>
  <si>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</si>
  <si>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</si>
  <si>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</si>
  <si>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</si>
  <si>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</si>
  <si>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</si>
  <si>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</si>
  <si>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</si>
  <si>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</si>
  <si>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</si>
  <si>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</si>
  <si>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</si>
  <si>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</si>
  <si>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</si>
  <si>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</si>
  <si>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</si>
  <si>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</si>
  <si>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</si>
  <si>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</si>
  <si>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</si>
  <si>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</si>
  <si>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</si>
  <si>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</si>
  <si>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</si>
  <si>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</si>
  <si>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</si>
  <si>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</si>
  <si>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</si>
  <si>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</si>
  <si>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</si>
  <si>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</si>
  <si>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</si>
  <si>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</si>
  <si>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</si>
  <si>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</si>
  <si>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</si>
  <si>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</si>
  <si>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</si>
  <si>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</si>
  <si>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</si>
  <si>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</si>
  <si>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</si>
  <si>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</si>
  <si>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</si>
  <si>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</si>
  <si>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</si>
  <si>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</si>
  <si>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</si>
  <si>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</si>
  <si>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</si>
  <si>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</si>
  <si>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</si>
  <si>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</si>
  <si>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</si>
  <si>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</si>
  <si>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</si>
  <si>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</si>
  <si>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</si>
  <si>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</si>
  <si>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</si>
  <si>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</si>
  <si>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</si>
  <si>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</si>
  <si>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</si>
  <si>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</si>
  <si>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</si>
  <si>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</si>
  <si>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</si>
  <si>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</si>
  <si>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</si>
  <si>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</si>
  <si>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</si>
  <si>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</si>
  <si>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</si>
  <si>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</si>
  <si>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</si>
  <si>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</si>
  <si>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</si>
  <si>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</si>
  <si>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</si>
  <si>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</si>
  <si>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</si>
  <si>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</si>
  <si>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</si>
  <si>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</si>
  <si>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</si>
  <si>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</si>
  <si>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</si>
  <si>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</si>
  <si>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</si>
  <si>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</si>
  <si>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</si>
  <si>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</si>
  <si>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</si>
  <si>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</si>
  <si>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</si>
  <si>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</si>
  <si>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</si>
  <si>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</si>
  <si>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</si>
  <si>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</si>
  <si>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</si>
  <si>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</si>
  <si>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</si>
  <si>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</si>
  <si>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</si>
  <si>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</si>
  <si>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</si>
  <si>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</si>
  <si>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</si>
  <si>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</si>
  <si>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</si>
  <si>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</si>
  <si>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</si>
  <si>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</si>
  <si>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</si>
  <si>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</si>
  <si>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</si>
  <si>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</si>
  <si>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</si>
  <si>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</si>
  <si>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</si>
  <si>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</si>
  <si>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</si>
  <si>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</si>
  <si>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</si>
  <si>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</si>
  <si>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</si>
  <si>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</si>
  <si>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</si>
  <si>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</si>
  <si>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</si>
  <si>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</si>
  <si>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</si>
  <si>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</si>
  <si>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</si>
  <si>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</si>
  <si>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</si>
  <si>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</si>
  <si>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</si>
  <si>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</si>
  <si>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</si>
  <si>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</si>
  <si>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</si>
  <si>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</si>
  <si>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</si>
  <si>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</si>
  <si>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</si>
  <si>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</si>
  <si>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</si>
  <si>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</si>
  <si>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</si>
  <si>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</si>
  <si>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</si>
  <si>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</si>
  <si>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</si>
  <si>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</si>
  <si>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</si>
  <si>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</si>
  <si>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</si>
  <si>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</si>
  <si>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</si>
  <si>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</si>
  <si>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</si>
  <si>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</si>
  <si>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</si>
  <si>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</si>
  <si>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</si>
  <si>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</si>
  <si>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</si>
  <si>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</si>
  <si>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</si>
  <si>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</si>
  <si>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</si>
  <si>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</si>
  <si>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</si>
  <si>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</si>
  <si>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</si>
  <si>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</si>
  <si>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</si>
  <si>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</si>
  <si>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</si>
  <si>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</si>
  <si>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</si>
  <si>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</si>
  <si>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</si>
  <si>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</si>
  <si>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</si>
  <si>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</si>
  <si>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</si>
  <si>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</si>
  <si>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</si>
  <si>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</si>
  <si>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</si>
  <si>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</si>
  <si>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</si>
  <si>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</si>
  <si>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</si>
  <si>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</si>
  <si>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</si>
  <si>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</si>
  <si>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</si>
  <si>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</si>
  <si>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</si>
  <si>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</si>
  <si>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</si>
  <si>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</si>
  <si>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</si>
  <si>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</si>
  <si>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</si>
  <si>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</si>
  <si>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</si>
  <si>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</si>
  <si>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</si>
  <si>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</si>
  <si>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</si>
  <si>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</si>
  <si>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</si>
  <si>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</si>
  <si>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</si>
  <si>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</si>
  <si>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</si>
  <si>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</si>
  <si>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</si>
  <si>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</si>
  <si>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</si>
  <si>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</si>
  <si>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</si>
  <si>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</si>
  <si>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</si>
  <si>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</si>
  <si>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</si>
  <si>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</si>
  <si>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</si>
  <si>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</si>
  <si>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</si>
  <si>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</si>
  <si>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</si>
  <si>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</si>
  <si>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</si>
  <si>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</si>
  <si>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</si>
  <si>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</si>
  <si>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</si>
  <si>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</si>
  <si>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</si>
  <si>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</si>
  <si>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</si>
  <si>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</si>
  <si>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</si>
  <si>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</si>
  <si>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</si>
  <si>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</si>
  <si>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</si>
  <si>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</si>
  <si>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</si>
  <si>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</si>
  <si>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</si>
  <si>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</si>
  <si>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</si>
  <si>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</si>
  <si>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</si>
  <si>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</si>
  <si>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</si>
  <si>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</si>
  <si>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</si>
  <si>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</si>
  <si>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</si>
  <si>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</si>
  <si>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</si>
  <si>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</si>
  <si>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</si>
  <si>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</si>
  <si>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</si>
  <si>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</si>
  <si>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</si>
  <si>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</si>
  <si>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</si>
  <si>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</si>
  <si>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</si>
  <si>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</si>
  <si>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</si>
  <si>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</si>
  <si>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</si>
  <si>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</si>
  <si>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</si>
  <si>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</si>
  <si>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</si>
  <si>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</si>
  <si>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</si>
  <si>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</si>
  <si>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</si>
  <si>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</si>
  <si>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</si>
  <si>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</si>
  <si>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</si>
  <si>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</si>
  <si>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</si>
  <si>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</si>
  <si>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</si>
  <si>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</si>
  <si>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</si>
  <si>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</si>
  <si>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</si>
  <si>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</si>
  <si>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</si>
  <si>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</si>
  <si>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</si>
  <si>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</si>
  <si>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</si>
  <si>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</si>
  <si>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</si>
  <si>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</si>
  <si>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</si>
  <si>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</si>
  <si>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</si>
  <si>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</si>
  <si>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</si>
  <si>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</si>
  <si>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</si>
  <si>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</si>
  <si>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</si>
  <si>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</si>
  <si>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</si>
  <si>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</si>
  <si>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</si>
  <si>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</si>
  <si>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</si>
  <si>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</si>
  <si>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</si>
  <si>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</si>
  <si>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</si>
  <si>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</si>
  <si>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</si>
  <si>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</si>
  <si>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</si>
  <si>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</si>
  <si>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</si>
  <si>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</si>
  <si>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</si>
  <si>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</si>
  <si>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</si>
  <si>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</si>
  <si>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</si>
  <si>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</si>
  <si>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</si>
  <si>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</si>
  <si>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</si>
  <si>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</si>
  <si>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</si>
  <si>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</si>
  <si>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</si>
  <si>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</si>
  <si>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</si>
  <si>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</si>
  <si>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</si>
  <si>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</si>
  <si>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</si>
  <si>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</si>
  <si>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</si>
  <si>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</si>
  <si>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</si>
  <si>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</si>
  <si>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</si>
  <si>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</si>
  <si>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</si>
  <si>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</si>
  <si>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</si>
  <si>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</si>
  <si>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</si>
  <si>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</si>
  <si>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</si>
  <si>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</si>
  <si>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</si>
  <si>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</si>
  <si>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</si>
  <si>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</si>
  <si>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</si>
  <si>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</si>
  <si>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</si>
  <si>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</si>
  <si>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</si>
  <si>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</si>
  <si>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</si>
  <si>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</si>
  <si>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</si>
  <si>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</si>
  <si>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</si>
  <si>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</si>
  <si>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</si>
  <si>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</si>
  <si>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</si>
  <si>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</si>
  <si>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</si>
  <si>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</si>
  <si>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</si>
  <si>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</si>
  <si>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</si>
  <si>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</si>
  <si>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</si>
  <si>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</si>
  <si>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</si>
  <si>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</si>
  <si>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</si>
  <si>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</si>
  <si>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</si>
  <si>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</si>
  <si>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</si>
  <si>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</si>
  <si>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</si>
  <si>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</si>
  <si>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</si>
  <si>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</si>
  <si>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</si>
  <si>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</si>
  <si>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</si>
  <si>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</si>
  <si>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</si>
  <si>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</si>
  <si>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</si>
  <si>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</si>
  <si>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</si>
  <si>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</si>
  <si>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</si>
  <si>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</si>
  <si>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</si>
  <si>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</si>
  <si>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</si>
  <si>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</si>
  <si>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</si>
  <si>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</si>
  <si>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</si>
  <si>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</si>
  <si>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</si>
  <si>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</si>
  <si>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</si>
  <si>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</si>
  <si>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</si>
  <si>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</si>
  <si>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</si>
  <si>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</si>
  <si>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</si>
  <si>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</si>
  <si>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</si>
  <si>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</si>
  <si>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</si>
  <si>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</si>
  <si>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</si>
  <si>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</si>
  <si>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</si>
  <si>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</si>
  <si>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</si>
  <si>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</si>
  <si>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</si>
  <si>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</si>
  <si>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</si>
  <si>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</si>
  <si>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</si>
  <si>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</si>
  <si>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</si>
  <si>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</si>
  <si>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</si>
  <si>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</si>
  <si>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</si>
  <si>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</si>
  <si>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</si>
  <si>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</si>
  <si>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</si>
  <si>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</si>
  <si>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</si>
  <si>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</si>
  <si>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</si>
  <si>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</si>
  <si>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</si>
  <si>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</si>
  <si>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</si>
  <si>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</si>
  <si>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</si>
  <si>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</si>
  <si>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</si>
  <si>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</si>
  <si>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</si>
  <si>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</si>
  <si>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</si>
  <si>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</si>
  <si>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</si>
  <si>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</si>
  <si>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</si>
  <si>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</si>
  <si>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</si>
  <si>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</si>
  <si>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</si>
  <si>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</si>
  <si>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</si>
  <si>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</si>
  <si>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</si>
  <si>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</si>
  <si>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</si>
  <si>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</si>
  <si>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</si>
  <si>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</si>
  <si>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</si>
  <si>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</si>
  <si>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</si>
  <si>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</si>
  <si>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</si>
  <si>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</si>
  <si>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</si>
  <si>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</si>
  <si>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</si>
  <si>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</si>
  <si>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</si>
  <si>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</si>
  <si>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</si>
  <si>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</si>
  <si>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</si>
  <si>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</si>
  <si>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</si>
  <si>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</si>
  <si>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</si>
  <si>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</si>
  <si>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</si>
  <si>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</si>
  <si>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</si>
  <si>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</si>
  <si>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</si>
  <si>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</si>
  <si>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</si>
  <si>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</si>
  <si>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</si>
  <si>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</si>
  <si>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</si>
  <si>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</si>
  <si>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</si>
  <si>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</si>
  <si>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</si>
  <si>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</si>
  <si>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</si>
  <si>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</si>
  <si>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</si>
  <si>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</si>
  <si>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</si>
  <si>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</si>
  <si>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</si>
  <si>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</si>
  <si>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</si>
  <si>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</si>
  <si>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</si>
  <si>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</si>
  <si>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</si>
  <si>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</si>
  <si>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</si>
  <si>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</si>
  <si>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</si>
  <si>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</si>
  <si>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</si>
  <si>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</si>
  <si>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</si>
  <si>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</si>
  <si>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</si>
  <si>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</si>
  <si>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</si>
  <si>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</si>
  <si>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</si>
  <si>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</si>
  <si>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</si>
  <si>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</si>
  <si>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</si>
  <si>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</si>
  <si>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</si>
  <si>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</si>
  <si>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</si>
  <si>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</si>
  <si>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</si>
  <si>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</si>
  <si>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</si>
  <si>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</si>
  <si>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</si>
  <si>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</si>
  <si>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</si>
  <si>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</si>
  <si>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</si>
  <si>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</si>
  <si>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</si>
  <si>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</si>
  <si>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</si>
  <si>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</si>
  <si>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</si>
  <si>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</si>
  <si>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</si>
  <si>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</si>
  <si>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</si>
  <si>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</si>
  <si>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</si>
  <si>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</si>
  <si>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</si>
  <si>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</si>
  <si>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</si>
  <si>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</si>
  <si>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</si>
  <si>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</si>
  <si>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</si>
  <si>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</si>
  <si>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</si>
  <si>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</si>
  <si>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</si>
  <si>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</si>
  <si>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</si>
  <si>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</si>
  <si>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</si>
  <si>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</si>
  <si>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</si>
  <si>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</si>
  <si>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</si>
  <si>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</si>
  <si>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</si>
  <si>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</si>
  <si>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</si>
  <si>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</si>
  <si>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</si>
  <si>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</si>
  <si>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</si>
  <si>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</si>
  <si>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</si>
  <si>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</si>
  <si>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</si>
  <si>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</si>
  <si>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</si>
  <si>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</si>
  <si>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</si>
  <si>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</si>
  <si>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</si>
  <si>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</si>
  <si>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</si>
  <si>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</si>
  <si>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</si>
  <si>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</si>
  <si>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</si>
  <si>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</si>
  <si>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</si>
  <si>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</si>
  <si>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</si>
  <si>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</si>
  <si>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</si>
  <si>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</si>
  <si>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</si>
  <si>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</si>
  <si>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</si>
  <si>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</si>
  <si>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</si>
  <si>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</si>
  <si>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</si>
  <si>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</si>
  <si>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</si>
  <si>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</si>
  <si>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</si>
  <si>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</si>
  <si>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</si>
  <si>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</si>
  <si>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</si>
  <si>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</si>
  <si>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</si>
  <si>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</si>
  <si>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</si>
  <si>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</si>
  <si>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</si>
  <si>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</si>
  <si>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</si>
  <si>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</si>
  <si>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</si>
  <si>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</si>
  <si>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</si>
  <si>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</si>
  <si>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</si>
  <si>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</si>
  <si>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</si>
  <si>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</si>
  <si>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</si>
  <si>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</si>
  <si>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</si>
  <si>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</si>
  <si>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</si>
  <si>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</si>
  <si>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</si>
  <si>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</si>
  <si>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</si>
  <si>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</si>
  <si>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</si>
  <si>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</si>
  <si>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</si>
  <si>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</si>
  <si>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</si>
  <si>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</si>
  <si>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</si>
  <si>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</si>
  <si>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</si>
  <si>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</si>
  <si>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</si>
  <si>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</si>
  <si>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</si>
  <si>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</si>
  <si>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</si>
  <si>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</si>
  <si>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</si>
  <si>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</si>
  <si>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</si>
  <si>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</si>
  <si>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</si>
  <si>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</si>
  <si>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</si>
  <si>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</si>
  <si>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</si>
  <si>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</si>
  <si>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</si>
  <si>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</si>
  <si>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</si>
  <si>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</si>
  <si>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</si>
  <si>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</si>
  <si>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</si>
  <si>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</si>
  <si>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</si>
  <si>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</si>
  <si>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</si>
  <si>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</si>
  <si>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</si>
  <si>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</si>
  <si>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</si>
  <si>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</si>
  <si>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</si>
  <si>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</si>
  <si>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</si>
  <si>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</si>
  <si>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</si>
  <si>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</si>
  <si>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</si>
  <si>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</si>
  <si>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</si>
  <si>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</si>
  <si>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</si>
  <si>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</si>
  <si>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</si>
  <si>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</si>
  <si>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</si>
  <si>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</si>
  <si>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</si>
  <si>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</si>
  <si>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</si>
  <si>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</si>
  <si>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</si>
  <si>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</si>
  <si>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</si>
  <si>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</si>
  <si>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</si>
  <si>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</si>
  <si>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</si>
  <si>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</si>
  <si>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</si>
  <si>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</si>
  <si>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Grand Total</t>
  </si>
  <si>
    <t>Sum of Units_Sold</t>
  </si>
  <si>
    <t>2023</t>
  </si>
  <si>
    <t>2024</t>
  </si>
  <si>
    <t>2025</t>
  </si>
  <si>
    <t>Retails</t>
  </si>
  <si>
    <t>Amazon</t>
  </si>
  <si>
    <t>Walmart</t>
  </si>
  <si>
    <t>Foot Locker</t>
  </si>
  <si>
    <t>Total Profit</t>
  </si>
  <si>
    <t>Profitability</t>
  </si>
  <si>
    <t>Sales Performance</t>
  </si>
  <si>
    <t>Trends &amp; Growth</t>
  </si>
  <si>
    <t>Product Analysis</t>
  </si>
  <si>
    <t>Regional Analysis</t>
  </si>
  <si>
    <t>Column Labels</t>
  </si>
  <si>
    <t>STORE TYPE</t>
  </si>
  <si>
    <t>TOTAL SOLD UNITS</t>
  </si>
  <si>
    <t>Total Sales</t>
  </si>
  <si>
    <t>Sum of Total Sales</t>
  </si>
  <si>
    <t>Sum of Profit</t>
  </si>
  <si>
    <t>Jul</t>
  </si>
  <si>
    <t>Aug</t>
  </si>
  <si>
    <t>Sep</t>
  </si>
  <si>
    <t>Jan</t>
  </si>
  <si>
    <t>Feb</t>
  </si>
  <si>
    <t>Mar</t>
  </si>
  <si>
    <t>Apr</t>
  </si>
  <si>
    <t>May</t>
  </si>
  <si>
    <t>Jun</t>
  </si>
  <si>
    <t>Oct</t>
  </si>
  <si>
    <t>Nov</t>
  </si>
  <si>
    <t>Dec</t>
  </si>
  <si>
    <t>Profit Margin %</t>
  </si>
  <si>
    <t>Pareto (80/20) Analysis</t>
  </si>
  <si>
    <t>Products</t>
  </si>
  <si>
    <t>Product Sales %</t>
  </si>
  <si>
    <t>Cumulative %</t>
  </si>
  <si>
    <t>YoY Sales
growth %</t>
  </si>
  <si>
    <t>YoY Proit
growth %</t>
  </si>
  <si>
    <t>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</si>
</sst>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0.0%"/>
    <numFmt numFmtId="166" formatCode="&quot;$&quot;#,##0.00"/>
  </numFmts>
  <fonts count="3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22"/>
      <color theme="1"/>
      <name val="Aptos Narrow"/>
      <scheme val="minor"/>
    </font>
    <font>
      <u/>
      <sz val="11"/>
      <color theme="10"/>
      <name val="Aptos Narrow"/>
      <family val="2"/>
      <scheme val="minor"/>
    </font>
    <font>
      <sz val="11"/>
      <color theme="1"/>
      <name val="Aptos Narrow"/>
      <scheme val="minor"/>
    </font>
    <font>
      <b/>
      <u/>
      <sz val="12"/>
      <color theme="1"/>
      <name val="Aptos Narrow"/>
      <scheme val="minor"/>
    </font>
    <font>
      <b/>
      <sz val="12"/>
      <color theme="1"/>
      <name val="Aptos Narrow"/>
      <scheme val="minor"/>
    </font>
    <font>
      <b/>
      <sz val="16"/>
      <color theme="1"/>
      <name val="Aptos Narrow"/>
      <scheme val="minor"/>
    </font>
    <font>
      <b/>
      <sz val="16"/>
      <name val="Aptos Narrow"/>
      <scheme val="minor"/>
    </font>
    <font>
      <b/>
      <sz val="16"/>
      <name val="Aptos Narrow"/>
      <family val="2"/>
      <scheme val="minor"/>
    </font>
    <font>
      <b/>
      <sz val="14"/>
      <name val="Aptos Narrow"/>
      <scheme val="minor"/>
    </font>
    <font>
      <b/>
      <sz val="12"/>
      <color theme="3"/>
      <name val="Aptos Narrow"/>
      <family val="2"/>
      <scheme val="minor"/>
    </font>
    <font>
      <b/>
      <sz val="11"/>
      <color theme="1"/>
      <name val="Aptos Narrow"/>
      <scheme val="minor"/>
    </font>
    <font>
      <b/>
      <sz val="10.5"/>
      <color theme="3"/>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249977111117893"/>
        <bgColor indexed="64"/>
      </patternFill>
    </fill>
    <fill>
      <patternFill patternType="solid">
        <fgColor rgb="FF00B0F0"/>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53">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14" fontId="0" fillId="0" borderId="0" xfId="0" applyNumberFormat="1"/>
    <xf numFmtId="14" fontId="16" fillId="33" borderId="0" xfId="0" applyNumberFormat="1" applyFont="1" applyFill="1" applyAlignment="1">
      <alignment horizontal="center" vertical="center"/>
    </xf>
    <xf numFmtId="0" fontId="20" fillId="0" borderId="0" xfId="0" applyFont="1"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Border="1"/>
    <xf numFmtId="0" fontId="21" fillId="0" borderId="0" xfId="0" applyFont="1"/>
    <xf numFmtId="9" fontId="22" fillId="0" borderId="0" xfId="43" applyFont="1"/>
    <xf numFmtId="0" fontId="0" fillId="34" borderId="13" xfId="0" applyFill="1" applyBorder="1"/>
    <xf numFmtId="0" fontId="0" fillId="34" borderId="14" xfId="0" applyFill="1" applyBorder="1"/>
    <xf numFmtId="0" fontId="0" fillId="34" borderId="15" xfId="0" applyFill="1" applyBorder="1"/>
    <xf numFmtId="0" fontId="0" fillId="34" borderId="16" xfId="0" applyFill="1" applyBorder="1"/>
    <xf numFmtId="0" fontId="0" fillId="34" borderId="0" xfId="0" applyFill="1" applyBorder="1"/>
    <xf numFmtId="0" fontId="0" fillId="34" borderId="17" xfId="0" applyFill="1" applyBorder="1"/>
    <xf numFmtId="0" fontId="0" fillId="0" borderId="16" xfId="0" applyBorder="1"/>
    <xf numFmtId="0" fontId="0" fillId="0" borderId="17" xfId="0" applyBorder="1"/>
    <xf numFmtId="0" fontId="19" fillId="0" borderId="0" xfId="42" applyBorder="1"/>
    <xf numFmtId="0" fontId="0" fillId="0" borderId="18" xfId="0" applyBorder="1"/>
    <xf numFmtId="0" fontId="0" fillId="0" borderId="19" xfId="0" applyBorder="1"/>
    <xf numFmtId="0" fontId="0" fillId="0" borderId="20" xfId="0" applyBorder="1"/>
    <xf numFmtId="0" fontId="24" fillId="33" borderId="24" xfId="0" applyFont="1" applyFill="1" applyBorder="1" applyAlignment="1">
      <alignment horizontal="center" vertical="center"/>
    </xf>
    <xf numFmtId="0" fontId="24" fillId="33" borderId="25" xfId="0" applyFont="1" applyFill="1" applyBorder="1" applyAlignment="1">
      <alignment horizontal="center" vertical="center"/>
    </xf>
    <xf numFmtId="0" fontId="26" fillId="0" borderId="22" xfId="0" applyFont="1" applyBorder="1" applyAlignment="1">
      <alignment horizontal="center" vertical="center"/>
    </xf>
    <xf numFmtId="166" fontId="26" fillId="0" borderId="21" xfId="44" applyNumberFormat="1" applyFont="1" applyBorder="1" applyAlignment="1">
      <alignment horizontal="center" vertical="center"/>
    </xf>
    <xf numFmtId="165" fontId="26" fillId="0" borderId="21" xfId="43" applyNumberFormat="1" applyFont="1" applyBorder="1" applyAlignment="1">
      <alignment horizontal="center" vertical="center"/>
    </xf>
    <xf numFmtId="165" fontId="26" fillId="0" borderId="23" xfId="43" applyNumberFormat="1" applyFont="1" applyBorder="1" applyAlignment="1">
      <alignment horizontal="center" vertical="center"/>
    </xf>
    <xf numFmtId="0" fontId="26" fillId="35" borderId="27" xfId="0" applyFont="1" applyFill="1" applyBorder="1" applyAlignment="1">
      <alignment horizontal="center" vertical="center"/>
    </xf>
    <xf numFmtId="166" fontId="26" fillId="35" borderId="28" xfId="44" applyNumberFormat="1" applyFont="1" applyFill="1" applyBorder="1" applyAlignment="1">
      <alignment horizontal="center" vertical="center"/>
    </xf>
    <xf numFmtId="165" fontId="26" fillId="35" borderId="28" xfId="43" applyNumberFormat="1" applyFont="1" applyFill="1" applyBorder="1" applyAlignment="1">
      <alignment horizontal="center" vertical="center"/>
    </xf>
    <xf numFmtId="9" fontId="26" fillId="35" borderId="29" xfId="43" applyFont="1" applyFill="1" applyBorder="1" applyAlignment="1">
      <alignment horizontal="center" vertical="center"/>
    </xf>
    <xf numFmtId="0" fontId="25" fillId="33" borderId="26" xfId="0" applyFont="1" applyFill="1" applyBorder="1" applyAlignment="1">
      <alignment horizontal="center" vertical="center"/>
    </xf>
    <xf numFmtId="0" fontId="28" fillId="0" borderId="21" xfId="0" applyFont="1" applyBorder="1" applyAlignment="1">
      <alignment horizontal="center" vertical="center"/>
    </xf>
    <xf numFmtId="0" fontId="0" fillId="0" borderId="21" xfId="0" applyBorder="1" applyAlignment="1">
      <alignment horizontal="center" vertical="center"/>
    </xf>
    <xf numFmtId="43" fontId="0" fillId="0" borderId="0" xfId="44" applyFont="1" applyAlignment="1">
      <alignment horizontal="center" vertical="center"/>
    </xf>
    <xf numFmtId="43" fontId="0" fillId="0" borderId="0" xfId="0" applyNumberFormat="1" applyAlignment="1">
      <alignment horizontal="center" vertical="center"/>
    </xf>
    <xf numFmtId="0" fontId="23" fillId="33" borderId="21" xfId="0" applyFont="1" applyFill="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164" fontId="5" fillId="0" borderId="1" xfId="2" applyNumberFormat="1" applyFont="1" applyFill="1" applyBorder="1" applyAlignment="1">
      <alignment horizontal="center" vertical="center" wrapText="1"/>
    </xf>
    <xf numFmtId="164" fontId="16" fillId="0" borderId="9" xfId="17" applyNumberFormat="1" applyFont="1" applyBorder="1" applyAlignment="1">
      <alignment horizontal="center" vertical="center"/>
    </xf>
    <xf numFmtId="0" fontId="0" fillId="0" borderId="0" xfId="0" applyBorder="1" applyAlignment="1">
      <alignment horizontal="center" vertical="center"/>
    </xf>
    <xf numFmtId="164" fontId="5" fillId="0" borderId="1" xfId="2" applyNumberFormat="1" applyFont="1" applyFill="1" applyBorder="1" applyAlignment="1">
      <alignment horizontal="center" vertical="center"/>
    </xf>
    <xf numFmtId="164" fontId="27" fillId="0" borderId="1" xfId="2" applyNumberFormat="1" applyFont="1" applyFill="1" applyBorder="1" applyAlignment="1">
      <alignment horizontal="center" vertical="center"/>
    </xf>
    <xf numFmtId="165" fontId="27" fillId="0" borderId="1" xfId="43" applyNumberFormat="1" applyFont="1" applyFill="1" applyBorder="1" applyAlignment="1">
      <alignment horizontal="center" vertical="center"/>
    </xf>
    <xf numFmtId="165" fontId="3" fillId="0" borderId="1" xfId="2" applyNumberFormat="1" applyFill="1" applyAlignment="1">
      <alignment horizontal="center" vertical="center"/>
    </xf>
    <xf numFmtId="164" fontId="27" fillId="0" borderId="1" xfId="2" applyNumberFormat="1" applyFont="1" applyFill="1" applyBorder="1" applyAlignment="1">
      <alignment horizontal="center" vertical="center" wrapText="1"/>
    </xf>
    <xf numFmtId="164" fontId="29" fillId="0" borderId="1" xfId="2" applyNumberFormat="1" applyFont="1" applyFill="1" applyBorder="1" applyAlignment="1">
      <alignment horizontal="center" vertical="center"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4"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51">
    <dxf>
      <font>
        <b/>
        <i val="0"/>
        <strike val="0"/>
        <condense val="0"/>
        <extend val="0"/>
        <outline val="0"/>
        <shadow val="0"/>
        <u val="none"/>
        <vertAlign val="baseline"/>
        <sz val="14"/>
        <color auto="1"/>
        <name val="Aptos Narrow"/>
        <scheme val="minor"/>
      </font>
      <numFmt numFmtId="165" formatCode="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4"/>
        <color auto="1"/>
        <name val="Aptos Narrow"/>
        <scheme val="minor"/>
      </font>
      <numFmt numFmtId="165"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Aptos Narrow"/>
        <scheme val="minor"/>
      </font>
      <numFmt numFmtId="166"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Aptos Narrow"/>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color auto="1"/>
        <name val="Aptos Narrow"/>
        <scheme val="minor"/>
      </font>
    </dxf>
    <dxf>
      <border outline="0">
        <bottom style="thin">
          <color indexed="64"/>
        </bottom>
      </border>
    </dxf>
    <dxf>
      <font>
        <b/>
        <i val="0"/>
        <strike val="0"/>
        <condense val="0"/>
        <extend val="0"/>
        <outline val="0"/>
        <shadow val="0"/>
        <u val="none"/>
        <vertAlign val="baseline"/>
        <sz val="16"/>
        <color auto="1"/>
        <name val="Aptos Narrow"/>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vertical="center" indent="0"/>
    </dxf>
    <dxf>
      <alignment vertical="center" indent="0"/>
    </dxf>
    <dxf>
      <alignment vertical="center" indent="0"/>
    </dxf>
    <dxf>
      <numFmt numFmtId="167" formatCode="m/d/yyyy"/>
    </dxf>
    <dxf>
      <numFmt numFmtId="167" formatCode="m/d/yyyy"/>
    </dxf>
    <dxf>
      <numFmt numFmtId="167" formatCode="m/d/yyyy"/>
    </dxf>
    <dxf>
      <numFmt numFmtId="167" formatCode="m/d/yyyy"/>
    </dxf>
    <dxf>
      <fill>
        <patternFill>
          <bgColor theme="1"/>
        </patternFill>
      </fill>
      <border>
        <left style="thin">
          <color auto="1"/>
        </left>
        <right style="thin">
          <color auto="1"/>
        </right>
        <top style="thin">
          <color auto="1"/>
        </top>
        <bottom style="thin">
          <color auto="1"/>
        </bottom>
      </border>
    </dxf>
    <dxf>
      <fill>
        <patternFill>
          <bgColor theme="1"/>
        </patternFill>
      </fill>
    </dxf>
  </dxfs>
  <tableStyles count="2" defaultTableStyle="TableStyleMedium2" defaultPivotStyle="PivotStyleLight16">
    <tableStyle name="Slicer Style 1" pivot="0" table="0" count="1" xr9:uid="{E5895B71-341C-44C6-A7F5-3467646FC1AD}">
      <tableStyleElement type="wholeTable" dxfId="150"/>
    </tableStyle>
    <tableStyle name="Slicer Style 2" pivot="0" table="0" count="1" xr9:uid="{FC4CD4AF-A9C6-44D2-A6AF-8D36E5646512}">
      <tableStyleElement type="wholeTable" dxfId="149"/>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Tables!Total Sales Per Payment Method</c:name>
    <c:fmtId val="4"/>
  </c:pivotSource>
  <c:chart>
    <c:title>
      <c:tx>
        <c:rich>
          <a:bodyPr rot="0" spcFirstLastPara="1" vertOverflow="ellipsis" vert="horz" wrap="square" anchor="ctr" anchorCtr="1"/>
          <a:lstStyle/>
          <a:p>
            <a:pPr algn="ctr" rtl="0">
              <a:defRPr lang="en-US" sz="1400" b="1" i="0" u="none" strike="noStrike" kern="1200" cap="none" spc="0" baseline="0">
                <a:ln/>
                <a:solidFill>
                  <a:schemeClr val="accent4"/>
                </a:solidFill>
                <a:effectLst/>
                <a:latin typeface="+mn-lt"/>
                <a:ea typeface="+mn-ea"/>
                <a:cs typeface="+mn-cs"/>
              </a:defRPr>
            </a:pPr>
            <a:r>
              <a:rPr lang="en-US" sz="1400" b="1" i="0" u="none" strike="noStrike" kern="1200" cap="none" spc="0" baseline="0">
                <a:ln/>
                <a:solidFill>
                  <a:srgbClr val="00B050"/>
                </a:solidFill>
                <a:effectLst/>
                <a:latin typeface="+mn-lt"/>
                <a:ea typeface="+mn-ea"/>
                <a:cs typeface="+mn-cs"/>
              </a:rPr>
              <a:t>Online</a:t>
            </a:r>
            <a:r>
              <a:rPr lang="en-US" sz="1400" b="1" i="0" u="none" strike="noStrike" kern="1200" cap="none" spc="0" baseline="0">
                <a:ln/>
                <a:solidFill>
                  <a:schemeClr val="accent4"/>
                </a:solidFill>
                <a:effectLst/>
                <a:latin typeface="+mn-lt"/>
                <a:ea typeface="+mn-ea"/>
                <a:cs typeface="+mn-cs"/>
              </a:rPr>
              <a:t> Store is the Best Selling Performance But </a:t>
            </a:r>
            <a:r>
              <a:rPr lang="en-US" sz="1400" b="1" i="0" u="none" strike="noStrike" kern="1200" cap="none" spc="0" baseline="0">
                <a:ln/>
                <a:solidFill>
                  <a:srgbClr val="FF0000"/>
                </a:solidFill>
                <a:effectLst/>
                <a:latin typeface="+mn-lt"/>
                <a:ea typeface="+mn-ea"/>
                <a:cs typeface="+mn-cs"/>
              </a:rPr>
              <a:t>Wholesale</a:t>
            </a:r>
            <a:r>
              <a:rPr lang="en-US" sz="1400" b="1" i="0" u="none" strike="noStrike" kern="1200" cap="none" spc="0" baseline="0">
                <a:ln/>
                <a:solidFill>
                  <a:schemeClr val="accent4"/>
                </a:solidFill>
                <a:effectLst/>
                <a:latin typeface="+mn-lt"/>
                <a:ea typeface="+mn-ea"/>
                <a:cs typeface="+mn-cs"/>
              </a:rPr>
              <a:t> is the Worst one</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0" baseline="0">
              <a:ln/>
              <a:solidFill>
                <a:schemeClr val="accent4"/>
              </a:solidFill>
              <a:effectLst/>
              <a:latin typeface="+mn-lt"/>
              <a:ea typeface="+mn-ea"/>
              <a:cs typeface="+mn-cs"/>
            </a:defRPr>
          </a:pPr>
          <a:endParaRPr lang="en-US"/>
        </a:p>
      </c:txPr>
    </c:title>
    <c:autoTitleDeleted val="0"/>
    <c:pivotFmts>
      <c:pivotFmt>
        <c:idx val="0"/>
        <c:spPr>
          <a:solidFill>
            <a:schemeClr val="accent1"/>
          </a:solidFill>
          <a:ln w="127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1">
              <a:lumMod val="85000"/>
              <a:lumOff val="15000"/>
            </a:schemeClr>
          </a:solidFill>
          <a:ln w="12700">
            <a:solidFill>
              <a:schemeClr val="lt1"/>
            </a:solidFill>
          </a:ln>
          <a:effectLst/>
        </c:spPr>
      </c:pivotFmt>
      <c:pivotFmt>
        <c:idx val="2"/>
        <c:spPr>
          <a:solidFill>
            <a:schemeClr val="bg2">
              <a:lumMod val="25000"/>
            </a:schemeClr>
          </a:solidFill>
          <a:ln w="12700">
            <a:solidFill>
              <a:schemeClr val="lt1"/>
            </a:solidFill>
          </a:ln>
          <a:effectLst/>
        </c:spPr>
      </c:pivotFmt>
      <c:pivotFmt>
        <c:idx val="3"/>
        <c:spPr>
          <a:solidFill>
            <a:schemeClr val="bg2">
              <a:lumMod val="50000"/>
            </a:schemeClr>
          </a:solidFill>
          <a:ln w="12700">
            <a:solidFill>
              <a:schemeClr val="lt1"/>
            </a:solidFill>
          </a:ln>
          <a:effectLst/>
        </c:spPr>
      </c:pivotFmt>
      <c:pivotFmt>
        <c:idx val="4"/>
        <c:spPr>
          <a:solidFill>
            <a:schemeClr val="bg2">
              <a:lumMod val="75000"/>
            </a:schemeClr>
          </a:solidFill>
          <a:ln w="12700">
            <a:solidFill>
              <a:schemeClr val="lt1"/>
            </a:solidFill>
          </a:ln>
          <a:effectLst/>
        </c:spPr>
      </c:pivotFmt>
      <c:pivotFmt>
        <c:idx val="5"/>
        <c:spPr>
          <a:solidFill>
            <a:schemeClr val="accent1"/>
          </a:solidFill>
          <a:ln w="127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tx1">
              <a:lumMod val="85000"/>
              <a:lumOff val="15000"/>
            </a:schemeClr>
          </a:solidFill>
          <a:ln w="12700">
            <a:solidFill>
              <a:schemeClr val="lt1"/>
            </a:solidFill>
          </a:ln>
          <a:effectLst/>
        </c:spPr>
      </c:pivotFmt>
      <c:pivotFmt>
        <c:idx val="7"/>
        <c:spPr>
          <a:solidFill>
            <a:schemeClr val="bg2">
              <a:lumMod val="25000"/>
            </a:schemeClr>
          </a:solidFill>
          <a:ln w="12700">
            <a:solidFill>
              <a:schemeClr val="lt1"/>
            </a:solidFill>
          </a:ln>
          <a:effectLst/>
        </c:spPr>
      </c:pivotFmt>
      <c:pivotFmt>
        <c:idx val="8"/>
        <c:spPr>
          <a:solidFill>
            <a:schemeClr val="bg2">
              <a:lumMod val="50000"/>
            </a:schemeClr>
          </a:solidFill>
          <a:ln w="12700">
            <a:solidFill>
              <a:schemeClr val="lt1"/>
            </a:solidFill>
          </a:ln>
          <a:effectLst/>
        </c:spPr>
      </c:pivotFmt>
      <c:pivotFmt>
        <c:idx val="9"/>
        <c:spPr>
          <a:solidFill>
            <a:schemeClr val="bg2">
              <a:lumMod val="75000"/>
            </a:schemeClr>
          </a:solidFill>
          <a:ln w="12700">
            <a:solidFill>
              <a:schemeClr val="lt1"/>
            </a:solidFill>
          </a:ln>
          <a:effectLst/>
        </c:spPr>
      </c:pivotFmt>
      <c:pivotFmt>
        <c:idx val="10"/>
        <c:spPr>
          <a:solidFill>
            <a:schemeClr val="accent1"/>
          </a:solidFill>
          <a:ln w="127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00B050"/>
          </a:solidFill>
          <a:ln w="12700">
            <a:solidFill>
              <a:schemeClr val="lt1"/>
            </a:solidFill>
          </a:ln>
          <a:effectLst/>
        </c:spPr>
      </c:pivotFmt>
      <c:pivotFmt>
        <c:idx val="12"/>
        <c:spPr>
          <a:solidFill>
            <a:schemeClr val="tx2">
              <a:lumMod val="50000"/>
              <a:lumOff val="50000"/>
            </a:schemeClr>
          </a:solidFill>
          <a:ln w="12700">
            <a:solidFill>
              <a:schemeClr val="lt1"/>
            </a:solidFill>
          </a:ln>
          <a:effectLst/>
        </c:spPr>
      </c:pivotFmt>
      <c:pivotFmt>
        <c:idx val="13"/>
        <c:spPr>
          <a:solidFill>
            <a:schemeClr val="bg2">
              <a:lumMod val="50000"/>
            </a:schemeClr>
          </a:solidFill>
          <a:ln w="12700">
            <a:solidFill>
              <a:schemeClr val="lt1"/>
            </a:solidFill>
          </a:ln>
          <a:effectLst/>
        </c:spPr>
      </c:pivotFmt>
      <c:pivotFmt>
        <c:idx val="14"/>
        <c:spPr>
          <a:solidFill>
            <a:schemeClr val="bg2">
              <a:lumMod val="75000"/>
            </a:schemeClr>
          </a:solidFill>
          <a:ln w="12700">
            <a:solidFill>
              <a:schemeClr val="lt1"/>
            </a:solidFill>
          </a:ln>
          <a:effectLst/>
        </c:spPr>
        <c:dLbl>
          <c:idx val="0"/>
          <c:layout>
            <c:manualLayout>
              <c:x val="-7.3192957406097645E-2"/>
              <c:y val="4.394776942121213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201073064187612"/>
          <c:y val="0.2297016466745003"/>
          <c:w val="0.555633218111236"/>
          <c:h val="0.74439904471360485"/>
        </c:manualLayout>
      </c:layout>
      <c:pieChart>
        <c:varyColors val="1"/>
        <c:ser>
          <c:idx val="0"/>
          <c:order val="0"/>
          <c:tx>
            <c:strRef>
              <c:f>'Pivot Tables'!$I$4</c:f>
              <c:strCache>
                <c:ptCount val="1"/>
                <c:pt idx="0">
                  <c:v>Total</c:v>
                </c:pt>
              </c:strCache>
            </c:strRef>
          </c:tx>
          <c:spPr>
            <a:ln w="12700"/>
          </c:spPr>
          <c:dPt>
            <c:idx val="0"/>
            <c:bubble3D val="0"/>
            <c:spPr>
              <a:solidFill>
                <a:srgbClr val="00B050"/>
              </a:solidFill>
              <a:ln w="12700">
                <a:solidFill>
                  <a:schemeClr val="lt1"/>
                </a:solidFill>
              </a:ln>
              <a:effectLst/>
            </c:spPr>
            <c:extLst>
              <c:ext xmlns:c16="http://schemas.microsoft.com/office/drawing/2014/chart" uri="{C3380CC4-5D6E-409C-BE32-E72D297353CC}">
                <c16:uniqueId val="{00000001-2DE6-42DC-82D1-6B28A45995BB}"/>
              </c:ext>
            </c:extLst>
          </c:dPt>
          <c:dPt>
            <c:idx val="1"/>
            <c:bubble3D val="0"/>
            <c:spPr>
              <a:solidFill>
                <a:schemeClr val="tx2">
                  <a:lumMod val="50000"/>
                  <a:lumOff val="50000"/>
                </a:schemeClr>
              </a:solidFill>
              <a:ln w="12700">
                <a:solidFill>
                  <a:schemeClr val="lt1"/>
                </a:solidFill>
              </a:ln>
              <a:effectLst/>
            </c:spPr>
            <c:extLst>
              <c:ext xmlns:c16="http://schemas.microsoft.com/office/drawing/2014/chart" uri="{C3380CC4-5D6E-409C-BE32-E72D297353CC}">
                <c16:uniqueId val="{00000003-2DE6-42DC-82D1-6B28A45995BB}"/>
              </c:ext>
            </c:extLst>
          </c:dPt>
          <c:dPt>
            <c:idx val="2"/>
            <c:bubble3D val="0"/>
            <c:spPr>
              <a:solidFill>
                <a:schemeClr val="bg2">
                  <a:lumMod val="50000"/>
                </a:schemeClr>
              </a:solidFill>
              <a:ln w="12700">
                <a:solidFill>
                  <a:schemeClr val="lt1"/>
                </a:solidFill>
              </a:ln>
              <a:effectLst/>
            </c:spPr>
            <c:extLst>
              <c:ext xmlns:c16="http://schemas.microsoft.com/office/drawing/2014/chart" uri="{C3380CC4-5D6E-409C-BE32-E72D297353CC}">
                <c16:uniqueId val="{00000005-2DE6-42DC-82D1-6B28A45995BB}"/>
              </c:ext>
            </c:extLst>
          </c:dPt>
          <c:dPt>
            <c:idx val="3"/>
            <c:bubble3D val="0"/>
            <c:spPr>
              <a:solidFill>
                <a:schemeClr val="bg2">
                  <a:lumMod val="75000"/>
                </a:schemeClr>
              </a:solidFill>
              <a:ln w="12700">
                <a:solidFill>
                  <a:schemeClr val="lt1"/>
                </a:solidFill>
              </a:ln>
              <a:effectLst/>
            </c:spPr>
            <c:extLst>
              <c:ext xmlns:c16="http://schemas.microsoft.com/office/drawing/2014/chart" uri="{C3380CC4-5D6E-409C-BE32-E72D297353CC}">
                <c16:uniqueId val="{00000007-2DE6-42DC-82D1-6B28A45995BB}"/>
              </c:ext>
            </c:extLst>
          </c:dPt>
          <c:dLbls>
            <c:dLbl>
              <c:idx val="3"/>
              <c:layout>
                <c:manualLayout>
                  <c:x val="-7.3192957406097645E-2"/>
                  <c:y val="4.394776942121213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DE6-42DC-82D1-6B28A45995B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Tables'!$H$5:$H$9</c:f>
              <c:strCache>
                <c:ptCount val="4"/>
                <c:pt idx="0">
                  <c:v>Online</c:v>
                </c:pt>
                <c:pt idx="1">
                  <c:v>Retail</c:v>
                </c:pt>
                <c:pt idx="2">
                  <c:v>Outlet</c:v>
                </c:pt>
                <c:pt idx="3">
                  <c:v>Wholesale</c:v>
                </c:pt>
              </c:strCache>
            </c:strRef>
          </c:cat>
          <c:val>
            <c:numRef>
              <c:f>'Pivot Tables'!$I$5:$I$9</c:f>
              <c:numCache>
                <c:formatCode>0.00%</c:formatCode>
                <c:ptCount val="4"/>
                <c:pt idx="0">
                  <c:v>0.45098591549295775</c:v>
                </c:pt>
                <c:pt idx="1">
                  <c:v>0.35577464788732394</c:v>
                </c:pt>
                <c:pt idx="2">
                  <c:v>0.12028169014084507</c:v>
                </c:pt>
                <c:pt idx="3">
                  <c:v>7.2957746478873237E-2</c:v>
                </c:pt>
              </c:numCache>
            </c:numRef>
          </c:val>
          <c:extLst>
            <c:ext xmlns:c16="http://schemas.microsoft.com/office/drawing/2014/chart" uri="{C3380CC4-5D6E-409C-BE32-E72D297353CC}">
              <c16:uniqueId val="{00000008-2DE6-42DC-82D1-6B28A45995B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Tables!Total Sales Per Time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cap="none" spc="0" baseline="0">
                <a:ln/>
                <a:solidFill>
                  <a:schemeClr val="accent4"/>
                </a:solidFill>
                <a:effectLst/>
              </a:rPr>
              <a:t>Total Sales of Different Stores Per Time</a:t>
            </a:r>
            <a:endParaRPr lang="en-US" sz="1400" b="1" cap="none" spc="0">
              <a:ln/>
              <a:solidFill>
                <a:schemeClr val="accent4"/>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24B414-2BA4-47BF-AB08-1144EBCEB02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F3219EC-771A-4122-9756-395457DE1D5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3F4B95-1442-41BF-B221-7F8310ECC2D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19FB12D-5186-4E4D-8F1E-6C59B45DFB8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8C5C25-7520-436D-B129-8F6A8E19F24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21F8E12-8BFF-48F7-89E3-2D03BD55690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2">
              <a:lumMod val="5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pivotFmt>
      <c:pivotFmt>
        <c:idx val="34"/>
      </c:pivotFmt>
      <c:pivotFmt>
        <c:idx val="35"/>
      </c:pivotFmt>
      <c:pivotFmt>
        <c:idx val="36"/>
      </c:pivotFmt>
    </c:pivotFmts>
    <c:plotArea>
      <c:layout/>
      <c:barChart>
        <c:barDir val="col"/>
        <c:grouping val="clustered"/>
        <c:varyColors val="0"/>
        <c:ser>
          <c:idx val="0"/>
          <c:order val="0"/>
          <c:tx>
            <c:strRef>
              <c:f>'Pivot Tables'!$B$4:$B$5</c:f>
              <c:strCache>
                <c:ptCount val="1"/>
                <c:pt idx="0">
                  <c:v>Online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Tables'!$A$6:$A$9</c:f>
              <c:strCache>
                <c:ptCount val="3"/>
                <c:pt idx="0">
                  <c:v>2023</c:v>
                </c:pt>
                <c:pt idx="1">
                  <c:v>2024</c:v>
                </c:pt>
                <c:pt idx="2">
                  <c:v>2025</c:v>
                </c:pt>
              </c:strCache>
            </c:strRef>
          </c:cat>
          <c:val>
            <c:numRef>
              <c:f>'Pivot Tables'!$B$6:$B$9</c:f>
              <c:numCache>
                <c:formatCode>General</c:formatCode>
                <c:ptCount val="3"/>
                <c:pt idx="0">
                  <c:v>555</c:v>
                </c:pt>
                <c:pt idx="1">
                  <c:v>634</c:v>
                </c:pt>
                <c:pt idx="2">
                  <c:v>412</c:v>
                </c:pt>
              </c:numCache>
            </c:numRef>
          </c:val>
          <c:extLst>
            <c:ext xmlns:c16="http://schemas.microsoft.com/office/drawing/2014/chart" uri="{C3380CC4-5D6E-409C-BE32-E72D297353CC}">
              <c16:uniqueId val="{00000000-5398-485A-A155-D8241CF67BEC}"/>
            </c:ext>
          </c:extLst>
        </c:ser>
        <c:ser>
          <c:idx val="1"/>
          <c:order val="1"/>
          <c:tx>
            <c:strRef>
              <c:f>'Pivot Tables'!$C$4:$C$5</c:f>
              <c:strCache>
                <c:ptCount val="1"/>
                <c:pt idx="0">
                  <c:v>Outlet</c:v>
                </c:pt>
              </c:strCache>
            </c:strRef>
          </c:tx>
          <c:spPr>
            <a:solidFill>
              <a:schemeClr val="bg2">
                <a:lumMod val="50000"/>
              </a:schemeClr>
            </a:solidFill>
            <a:ln>
              <a:noFill/>
            </a:ln>
            <a:effectLst/>
          </c:spPr>
          <c:invertIfNegative val="0"/>
          <c:dPt>
            <c:idx val="0"/>
            <c:invertIfNegative val="0"/>
            <c:bubble3D val="0"/>
            <c:spPr>
              <a:solidFill>
                <a:schemeClr val="bg2">
                  <a:lumMod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Tables'!$A$6:$A$9</c:f>
              <c:strCache>
                <c:ptCount val="3"/>
                <c:pt idx="0">
                  <c:v>2023</c:v>
                </c:pt>
                <c:pt idx="1">
                  <c:v>2024</c:v>
                </c:pt>
                <c:pt idx="2">
                  <c:v>2025</c:v>
                </c:pt>
              </c:strCache>
            </c:strRef>
          </c:cat>
          <c:val>
            <c:numRef>
              <c:f>'Pivot Tables'!$C$6:$C$9</c:f>
              <c:numCache>
                <c:formatCode>General</c:formatCode>
                <c:ptCount val="3"/>
                <c:pt idx="0">
                  <c:v>159</c:v>
                </c:pt>
                <c:pt idx="1">
                  <c:v>147</c:v>
                </c:pt>
                <c:pt idx="2">
                  <c:v>121</c:v>
                </c:pt>
              </c:numCache>
            </c:numRef>
          </c:val>
          <c:extLst>
            <c:ext xmlns:c16="http://schemas.microsoft.com/office/drawing/2014/chart" uri="{C3380CC4-5D6E-409C-BE32-E72D297353CC}">
              <c16:uniqueId val="{0000001A-5398-485A-A155-D8241CF67BEC}"/>
            </c:ext>
          </c:extLst>
        </c:ser>
        <c:ser>
          <c:idx val="2"/>
          <c:order val="2"/>
          <c:tx>
            <c:strRef>
              <c:f>'Pivot Tables'!$D$4:$D$5</c:f>
              <c:strCache>
                <c:ptCount val="1"/>
                <c:pt idx="0">
                  <c:v>Retail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Tables'!$A$6:$A$9</c:f>
              <c:strCache>
                <c:ptCount val="3"/>
                <c:pt idx="0">
                  <c:v>2023</c:v>
                </c:pt>
                <c:pt idx="1">
                  <c:v>2024</c:v>
                </c:pt>
                <c:pt idx="2">
                  <c:v>2025</c:v>
                </c:pt>
              </c:strCache>
            </c:strRef>
          </c:cat>
          <c:val>
            <c:numRef>
              <c:f>'Pivot Tables'!$D$6:$D$9</c:f>
              <c:numCache>
                <c:formatCode>General</c:formatCode>
                <c:ptCount val="3"/>
                <c:pt idx="0">
                  <c:v>506</c:v>
                </c:pt>
                <c:pt idx="1">
                  <c:v>438</c:v>
                </c:pt>
                <c:pt idx="2">
                  <c:v>319</c:v>
                </c:pt>
              </c:numCache>
            </c:numRef>
          </c:val>
          <c:extLst>
            <c:ext xmlns:c16="http://schemas.microsoft.com/office/drawing/2014/chart" uri="{C3380CC4-5D6E-409C-BE32-E72D297353CC}">
              <c16:uniqueId val="{00000001-1812-483A-BD82-DF30D94DC07C}"/>
            </c:ext>
          </c:extLst>
        </c:ser>
        <c:ser>
          <c:idx val="3"/>
          <c:order val="3"/>
          <c:tx>
            <c:strRef>
              <c:f>'Pivot Tables'!$E$4:$E$5</c:f>
              <c:strCache>
                <c:ptCount val="1"/>
                <c:pt idx="0">
                  <c:v>Wholesale</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Tables'!$A$6:$A$9</c:f>
              <c:strCache>
                <c:ptCount val="3"/>
                <c:pt idx="0">
                  <c:v>2023</c:v>
                </c:pt>
                <c:pt idx="1">
                  <c:v>2024</c:v>
                </c:pt>
                <c:pt idx="2">
                  <c:v>2025</c:v>
                </c:pt>
              </c:strCache>
            </c:strRef>
          </c:cat>
          <c:val>
            <c:numRef>
              <c:f>'Pivot Tables'!$E$6:$E$9</c:f>
              <c:numCache>
                <c:formatCode>General</c:formatCode>
                <c:ptCount val="3"/>
                <c:pt idx="0">
                  <c:v>95</c:v>
                </c:pt>
                <c:pt idx="1">
                  <c:v>94</c:v>
                </c:pt>
                <c:pt idx="2">
                  <c:v>70</c:v>
                </c:pt>
              </c:numCache>
            </c:numRef>
          </c:val>
          <c:extLst>
            <c:ext xmlns:c16="http://schemas.microsoft.com/office/drawing/2014/chart" uri="{C3380CC4-5D6E-409C-BE32-E72D297353CC}">
              <c16:uniqueId val="{00000003-1812-483A-BD82-DF30D94DC07C}"/>
            </c:ext>
          </c:extLst>
        </c:ser>
        <c:dLbls>
          <c:dLblPos val="inEnd"/>
          <c:showLegendKey val="0"/>
          <c:showVal val="1"/>
          <c:showCatName val="0"/>
          <c:showSerName val="0"/>
          <c:showPercent val="0"/>
          <c:showBubbleSize val="0"/>
        </c:dLbls>
        <c:gapWidth val="50"/>
        <c:axId val="1031147376"/>
        <c:axId val="1031150328"/>
      </c:barChart>
      <c:catAx>
        <c:axId val="103114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sng" strike="noStrike" kern="1200" baseline="0">
                <a:solidFill>
                  <a:schemeClr val="tx1">
                    <a:lumMod val="95000"/>
                    <a:lumOff val="5000"/>
                  </a:schemeClr>
                </a:solidFill>
                <a:latin typeface="+mn-lt"/>
                <a:ea typeface="+mn-ea"/>
                <a:cs typeface="+mn-cs"/>
              </a:defRPr>
            </a:pPr>
            <a:endParaRPr lang="en-US"/>
          </a:p>
        </c:txPr>
        <c:crossAx val="1031150328"/>
        <c:crosses val="autoZero"/>
        <c:auto val="1"/>
        <c:lblAlgn val="ctr"/>
        <c:lblOffset val="100"/>
        <c:noMultiLvlLbl val="0"/>
      </c:catAx>
      <c:valAx>
        <c:axId val="1031150328"/>
        <c:scaling>
          <c:orientation val="minMax"/>
        </c:scaling>
        <c:delete val="0"/>
        <c:axPos val="l"/>
        <c:title>
          <c:tx>
            <c:rich>
              <a:bodyPr rot="-5400000" spcFirstLastPara="1" vertOverflow="ellipsis" vert="horz" wrap="square" anchor="ctr" anchorCtr="1"/>
              <a:lstStyle/>
              <a:p>
                <a:pPr algn="ctr" rtl="0">
                  <a:defRPr lang="en-US" sz="1600" b="1" i="0" u="none" strike="noStrike" kern="1200" cap="none" spc="0" baseline="0">
                    <a:ln/>
                    <a:solidFill>
                      <a:schemeClr val="accent4"/>
                    </a:solidFill>
                    <a:effectLst/>
                    <a:latin typeface="+mn-lt"/>
                    <a:ea typeface="+mn-ea"/>
                    <a:cs typeface="+mn-cs"/>
                  </a:defRPr>
                </a:pPr>
                <a:r>
                  <a:rPr lang="en-US" sz="1600" b="1" i="0" u="none" strike="noStrike" kern="1200" cap="none" spc="0" baseline="0">
                    <a:ln/>
                    <a:solidFill>
                      <a:schemeClr val="accent4"/>
                    </a:solidFill>
                    <a:effectLst/>
                    <a:latin typeface="+mn-lt"/>
                    <a:ea typeface="+mn-ea"/>
                    <a:cs typeface="+mn-cs"/>
                  </a:rPr>
                  <a:t>Number of Units Sold</a:t>
                </a:r>
              </a:p>
            </c:rich>
          </c:tx>
          <c:overlay val="0"/>
          <c:spPr>
            <a:noFill/>
            <a:ln>
              <a:noFill/>
            </a:ln>
            <a:effectLst/>
          </c:spPr>
          <c:txPr>
            <a:bodyPr rot="-5400000" spcFirstLastPara="1" vertOverflow="ellipsis" vert="horz" wrap="square" anchor="ctr" anchorCtr="1"/>
            <a:lstStyle/>
            <a:p>
              <a:pPr algn="ctr" rtl="0">
                <a:defRPr lang="en-US" sz="1600" b="1" i="0" u="none" strike="noStrike" kern="1200" cap="none" spc="0" baseline="0">
                  <a:ln/>
                  <a:solidFill>
                    <a:schemeClr val="accent4"/>
                  </a:solidFill>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31147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Tables!Highest Sales Per Store Per Region</c:name>
    <c:fmtId val="6"/>
  </c:pivotSource>
  <c:chart>
    <c:title>
      <c:tx>
        <c:rich>
          <a:bodyPr rot="0" spcFirstLastPara="1" vertOverflow="ellipsis" vert="horz" wrap="square" anchor="ctr" anchorCtr="1"/>
          <a:lstStyle/>
          <a:p>
            <a:pPr algn="ctr" rtl="0">
              <a:defRPr lang="en-US" sz="1600" b="1" i="0" u="none" strike="noStrike" kern="1200" cap="none" spc="0" baseline="0">
                <a:ln/>
                <a:solidFill>
                  <a:schemeClr val="accent4"/>
                </a:solidFill>
                <a:effectLst/>
                <a:latin typeface="+mn-lt"/>
                <a:ea typeface="+mn-ea"/>
                <a:cs typeface="+mn-cs"/>
              </a:defRPr>
            </a:pPr>
            <a:r>
              <a:rPr lang="en-US" sz="1600" b="1" i="0" u="none" strike="noStrike" kern="1200" cap="none" spc="0" baseline="0">
                <a:ln/>
                <a:solidFill>
                  <a:srgbClr val="00B050"/>
                </a:solidFill>
                <a:effectLst/>
                <a:latin typeface="+mn-lt"/>
                <a:ea typeface="+mn-ea"/>
                <a:cs typeface="+mn-cs"/>
              </a:rPr>
              <a:t>Predator Freak </a:t>
            </a:r>
            <a:r>
              <a:rPr lang="en-US" sz="1600" b="1" i="0" u="none" strike="noStrike" kern="1200" cap="none" spc="0" baseline="0">
                <a:ln/>
                <a:solidFill>
                  <a:schemeClr val="accent4"/>
                </a:solidFill>
                <a:effectLst/>
                <a:latin typeface="+mn-lt"/>
                <a:ea typeface="+mn-ea"/>
                <a:cs typeface="+mn-cs"/>
              </a:rPr>
              <a:t>is the Highest Profitable Product </a:t>
            </a:r>
          </a:p>
        </c:rich>
      </c:tx>
      <c:layout>
        <c:manualLayout>
          <c:xMode val="edge"/>
          <c:yMode val="edge"/>
          <c:x val="0.17319579695958423"/>
          <c:y val="1.2982826101165376E-2"/>
        </c:manualLayout>
      </c:layout>
      <c:overlay val="0"/>
      <c:spPr>
        <a:noFill/>
        <a:ln>
          <a:noFill/>
        </a:ln>
        <a:effectLst/>
      </c:spPr>
      <c:txPr>
        <a:bodyPr rot="0" spcFirstLastPara="1" vertOverflow="ellipsis" vert="horz" wrap="square" anchor="ctr" anchorCtr="1"/>
        <a:lstStyle/>
        <a:p>
          <a:pPr algn="ctr" rtl="0">
            <a:defRPr lang="en-US" sz="1600" b="1" i="0" u="none" strike="noStrike" kern="1200" cap="none" spc="0" baseline="0">
              <a:ln/>
              <a:solidFill>
                <a:schemeClr val="accent4"/>
              </a:solidFill>
              <a:effectLst/>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64000"/>
            </a:schemeClr>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alpha val="64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alpha val="3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lumMod val="65000"/>
            </a:schemeClr>
          </a:solidFill>
          <a:ln>
            <a:noFill/>
          </a:ln>
          <a:effectLst/>
        </c:spPr>
      </c:pivotFmt>
      <c:pivotFmt>
        <c:idx val="12"/>
        <c:spPr>
          <a:solidFill>
            <a:srgbClr val="FF0000"/>
          </a:solidFill>
          <a:ln>
            <a:noFill/>
          </a:ln>
          <a:effectLst/>
        </c:spPr>
      </c:pivotFmt>
      <c:pivotFmt>
        <c:idx val="13"/>
        <c:spPr>
          <a:solidFill>
            <a:schemeClr val="bg1">
              <a:lumMod val="65000"/>
            </a:schemeClr>
          </a:solidFill>
          <a:ln>
            <a:noFill/>
          </a:ln>
          <a:effectLst/>
        </c:spPr>
      </c:pivotFmt>
      <c:pivotFmt>
        <c:idx val="14"/>
        <c:spPr>
          <a:solidFill>
            <a:schemeClr val="bg1">
              <a:lumMod val="65000"/>
            </a:schemeClr>
          </a:solidFill>
          <a:ln>
            <a:noFill/>
          </a:ln>
          <a:effectLst/>
        </c:spPr>
      </c:pivotFmt>
      <c:pivotFmt>
        <c:idx val="15"/>
        <c:spPr>
          <a:solidFill>
            <a:schemeClr val="bg1">
              <a:lumMod val="65000"/>
            </a:schemeClr>
          </a:solidFill>
          <a:ln>
            <a:noFill/>
          </a:ln>
          <a:effectLst/>
        </c:spPr>
      </c:pivotFmt>
      <c:pivotFmt>
        <c:idx val="16"/>
        <c:spPr>
          <a:solidFill>
            <a:schemeClr val="bg1">
              <a:lumMod val="65000"/>
            </a:schemeClr>
          </a:solidFill>
          <a:ln>
            <a:noFill/>
          </a:ln>
          <a:effectLst/>
        </c:spPr>
      </c:pivotFmt>
      <c:pivotFmt>
        <c:idx val="17"/>
        <c:spPr>
          <a:solidFill>
            <a:srgbClr val="00B050"/>
          </a:solidFill>
          <a:ln>
            <a:noFill/>
          </a:ln>
          <a:effectLst/>
        </c:spPr>
      </c:pivotFmt>
      <c:pivotFmt>
        <c:idx val="18"/>
        <c:spPr>
          <a:solidFill>
            <a:schemeClr val="bg1">
              <a:lumMod val="65000"/>
            </a:schemeClr>
          </a:solidFill>
          <a:ln>
            <a:noFill/>
          </a:ln>
          <a:effectLst/>
        </c:spPr>
      </c:pivotFmt>
      <c:pivotFmt>
        <c:idx val="19"/>
        <c:spPr>
          <a:solidFill>
            <a:schemeClr val="bg1">
              <a:lumMod val="65000"/>
            </a:schemeClr>
          </a:solidFill>
          <a:ln>
            <a:noFill/>
          </a:ln>
          <a:effectLst/>
        </c:spPr>
      </c:pivotFmt>
      <c:pivotFmt>
        <c:idx val="20"/>
        <c:spPr>
          <a:solidFill>
            <a:schemeClr val="bg1">
              <a:lumMod val="65000"/>
            </a:schemeClr>
          </a:solidFill>
          <a:ln>
            <a:noFill/>
          </a:ln>
          <a:effectLst/>
        </c:spPr>
      </c:pivotFmt>
      <c:pivotFmt>
        <c:idx val="21"/>
        <c:spPr>
          <a:solidFill>
            <a:schemeClr val="bg1">
              <a:lumMod val="65000"/>
            </a:schemeClr>
          </a:solidFill>
          <a:ln>
            <a:noFill/>
          </a:ln>
          <a:effectLst/>
        </c:spPr>
      </c:pivotFmt>
    </c:pivotFmts>
    <c:plotArea>
      <c:layout>
        <c:manualLayout>
          <c:layoutTarget val="inner"/>
          <c:xMode val="edge"/>
          <c:yMode val="edge"/>
          <c:x val="0.22775307870330047"/>
          <c:y val="0.13144006512609249"/>
          <c:w val="0.5865018063911458"/>
          <c:h val="0.80417415610051068"/>
        </c:manualLayout>
      </c:layout>
      <c:barChart>
        <c:barDir val="bar"/>
        <c:grouping val="clustered"/>
        <c:varyColors val="0"/>
        <c:ser>
          <c:idx val="0"/>
          <c:order val="0"/>
          <c:tx>
            <c:strRef>
              <c:f>'Pivot Tables'!$L$4</c:f>
              <c:strCache>
                <c:ptCount val="1"/>
                <c:pt idx="0">
                  <c:v>Sum of Profit</c:v>
                </c:pt>
              </c:strCache>
            </c:strRef>
          </c:tx>
          <c:spPr>
            <a:solidFill>
              <a:schemeClr val="accent1">
                <a:alpha val="30000"/>
              </a:schemeClr>
            </a:solidFill>
            <a:ln>
              <a:noFill/>
            </a:ln>
            <a:effectLst/>
          </c:spPr>
          <c:invertIfNegative val="0"/>
          <c:cat>
            <c:strRef>
              <c:f>'Pivot Tables'!$K$5:$K$15</c:f>
              <c:strCache>
                <c:ptCount val="10"/>
                <c:pt idx="0">
                  <c:v>Predator Freak</c:v>
                </c:pt>
                <c:pt idx="1">
                  <c:v>Ultraboost Light</c:v>
                </c:pt>
                <c:pt idx="2">
                  <c:v>Copa Sense</c:v>
                </c:pt>
                <c:pt idx="3">
                  <c:v>Primegreen Jacket</c:v>
                </c:pt>
                <c:pt idx="4">
                  <c:v>Ultraboost 22</c:v>
                </c:pt>
                <c:pt idx="5">
                  <c:v>Z.N.E. Hoodie</c:v>
                </c:pt>
                <c:pt idx="6">
                  <c:v>NMD_R1</c:v>
                </c:pt>
                <c:pt idx="7">
                  <c:v>Superstar</c:v>
                </c:pt>
                <c:pt idx="8">
                  <c:v>Stan Smith</c:v>
                </c:pt>
                <c:pt idx="9">
                  <c:v>Originals Backpack</c:v>
                </c:pt>
              </c:strCache>
            </c:strRef>
          </c:cat>
          <c:val>
            <c:numRef>
              <c:f>'Pivot Tables'!$L$5:$L$15</c:f>
              <c:numCache>
                <c:formatCode>General</c:formatCode>
                <c:ptCount val="10"/>
                <c:pt idx="0">
                  <c:v>9218.4199999999983</c:v>
                </c:pt>
                <c:pt idx="1">
                  <c:v>8876.3200000000033</c:v>
                </c:pt>
                <c:pt idx="2">
                  <c:v>8086.74</c:v>
                </c:pt>
                <c:pt idx="3">
                  <c:v>7687.4</c:v>
                </c:pt>
                <c:pt idx="4">
                  <c:v>7680.8199999999988</c:v>
                </c:pt>
                <c:pt idx="5">
                  <c:v>7070.0999999999985</c:v>
                </c:pt>
                <c:pt idx="6">
                  <c:v>5832.62</c:v>
                </c:pt>
                <c:pt idx="7">
                  <c:v>5727.720000000003</c:v>
                </c:pt>
                <c:pt idx="8">
                  <c:v>5661.5700000000033</c:v>
                </c:pt>
                <c:pt idx="9">
                  <c:v>3354.68</c:v>
                </c:pt>
              </c:numCache>
            </c:numRef>
          </c:val>
          <c:extLst>
            <c:ext xmlns:c16="http://schemas.microsoft.com/office/drawing/2014/chart" uri="{C3380CC4-5D6E-409C-BE32-E72D297353CC}">
              <c16:uniqueId val="{00000000-9A0B-4D65-8D92-7573C84DA555}"/>
            </c:ext>
          </c:extLst>
        </c:ser>
        <c:dLbls>
          <c:showLegendKey val="0"/>
          <c:showVal val="0"/>
          <c:showCatName val="0"/>
          <c:showSerName val="0"/>
          <c:showPercent val="0"/>
          <c:showBubbleSize val="0"/>
        </c:dLbls>
        <c:gapWidth val="25"/>
        <c:axId val="336243664"/>
        <c:axId val="336243336"/>
      </c:barChart>
      <c:barChart>
        <c:barDir val="bar"/>
        <c:grouping val="clustered"/>
        <c:varyColors val="0"/>
        <c:ser>
          <c:idx val="1"/>
          <c:order val="1"/>
          <c:tx>
            <c:strRef>
              <c:f>'Pivot Tables'!$M$4</c:f>
              <c:strCache>
                <c:ptCount val="1"/>
                <c:pt idx="0">
                  <c:v>Sum of Total Sales</c:v>
                </c:pt>
              </c:strCache>
            </c:strRef>
          </c:tx>
          <c:spPr>
            <a:solidFill>
              <a:schemeClr val="bg1">
                <a:lumMod val="65000"/>
              </a:schemeClr>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964A-46DF-9EF4-CE018D44FC2A}"/>
              </c:ext>
            </c:extLst>
          </c:dPt>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3-964A-46DF-9EF4-CE018D44FC2A}"/>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E-9A0B-4D65-8D92-7573C84DA555}"/>
              </c:ext>
            </c:extLst>
          </c:dPt>
          <c:dPt>
            <c:idx val="3"/>
            <c:invertIfNegative val="0"/>
            <c:bubble3D val="0"/>
            <c:spPr>
              <a:solidFill>
                <a:schemeClr val="bg1">
                  <a:lumMod val="65000"/>
                </a:schemeClr>
              </a:solidFill>
              <a:ln>
                <a:noFill/>
              </a:ln>
              <a:effectLst/>
            </c:spPr>
            <c:extLst>
              <c:ext xmlns:c16="http://schemas.microsoft.com/office/drawing/2014/chart" uri="{C3380CC4-5D6E-409C-BE32-E72D297353CC}">
                <c16:uniqueId val="{00000006-9A0B-4D65-8D92-7573C84DA555}"/>
              </c:ext>
            </c:extLst>
          </c:dPt>
          <c:dPt>
            <c:idx val="4"/>
            <c:invertIfNegative val="0"/>
            <c:bubble3D val="0"/>
            <c:spPr>
              <a:solidFill>
                <a:schemeClr val="bg1">
                  <a:lumMod val="65000"/>
                </a:schemeClr>
              </a:solidFill>
              <a:ln>
                <a:noFill/>
              </a:ln>
              <a:effectLst/>
            </c:spPr>
            <c:extLst>
              <c:ext xmlns:c16="http://schemas.microsoft.com/office/drawing/2014/chart" uri="{C3380CC4-5D6E-409C-BE32-E72D297353CC}">
                <c16:uniqueId val="{00000009-964A-46DF-9EF4-CE018D44FC2A}"/>
              </c:ext>
            </c:extLst>
          </c:dPt>
          <c:dPt>
            <c:idx val="5"/>
            <c:invertIfNegative val="0"/>
            <c:bubble3D val="0"/>
            <c:spPr>
              <a:solidFill>
                <a:schemeClr val="bg1">
                  <a:lumMod val="65000"/>
                </a:schemeClr>
              </a:solidFill>
              <a:ln>
                <a:noFill/>
              </a:ln>
              <a:effectLst/>
            </c:spPr>
            <c:extLst>
              <c:ext xmlns:c16="http://schemas.microsoft.com/office/drawing/2014/chart" uri="{C3380CC4-5D6E-409C-BE32-E72D297353CC}">
                <c16:uniqueId val="{0000000B-964A-46DF-9EF4-CE018D44FC2A}"/>
              </c:ext>
            </c:extLst>
          </c:dPt>
          <c:dPt>
            <c:idx val="7"/>
            <c:invertIfNegative val="0"/>
            <c:bubble3D val="0"/>
            <c:extLst>
              <c:ext xmlns:c16="http://schemas.microsoft.com/office/drawing/2014/chart" uri="{C3380CC4-5D6E-409C-BE32-E72D297353CC}">
                <c16:uniqueId val="{00000007-9A0B-4D65-8D92-7573C84DA555}"/>
              </c:ext>
            </c:extLst>
          </c:dPt>
          <c:dPt>
            <c:idx val="8"/>
            <c:invertIfNegative val="0"/>
            <c:bubble3D val="0"/>
            <c:extLst>
              <c:ext xmlns:c16="http://schemas.microsoft.com/office/drawing/2014/chart" uri="{C3380CC4-5D6E-409C-BE32-E72D297353CC}">
                <c16:uniqueId val="{0000000B-9A0B-4D65-8D92-7573C84DA555}"/>
              </c:ext>
            </c:extLst>
          </c:dPt>
          <c:dPt>
            <c:idx val="9"/>
            <c:invertIfNegative val="0"/>
            <c:bubble3D val="0"/>
            <c:extLst>
              <c:ext xmlns:c16="http://schemas.microsoft.com/office/drawing/2014/chart" uri="{C3380CC4-5D6E-409C-BE32-E72D297353CC}">
                <c16:uniqueId val="{0000000F-9A0B-4D65-8D92-7573C84DA555}"/>
              </c:ext>
            </c:extLst>
          </c:dPt>
          <c:dPt>
            <c:idx val="11"/>
            <c:invertIfNegative val="0"/>
            <c:bubble3D val="0"/>
            <c:extLst>
              <c:ext xmlns:c16="http://schemas.microsoft.com/office/drawing/2014/chart" uri="{C3380CC4-5D6E-409C-BE32-E72D297353CC}">
                <c16:uniqueId val="{00000005-9A0B-4D65-8D92-7573C84DA555}"/>
              </c:ext>
            </c:extLst>
          </c:dPt>
          <c:dPt>
            <c:idx val="15"/>
            <c:invertIfNegative val="0"/>
            <c:bubble3D val="0"/>
            <c:extLst>
              <c:ext xmlns:c16="http://schemas.microsoft.com/office/drawing/2014/chart" uri="{C3380CC4-5D6E-409C-BE32-E72D297353CC}">
                <c16:uniqueId val="{00000008-9A0B-4D65-8D92-7573C84DA555}"/>
              </c:ext>
            </c:extLst>
          </c:dPt>
          <c:dPt>
            <c:idx val="16"/>
            <c:invertIfNegative val="0"/>
            <c:bubble3D val="0"/>
            <c:extLst>
              <c:ext xmlns:c16="http://schemas.microsoft.com/office/drawing/2014/chart" uri="{C3380CC4-5D6E-409C-BE32-E72D297353CC}">
                <c16:uniqueId val="{00000009-9A0B-4D65-8D92-7573C84DA555}"/>
              </c:ext>
            </c:extLst>
          </c:dPt>
          <c:dPt>
            <c:idx val="17"/>
            <c:invertIfNegative val="0"/>
            <c:bubble3D val="0"/>
            <c:extLst>
              <c:ext xmlns:c16="http://schemas.microsoft.com/office/drawing/2014/chart" uri="{C3380CC4-5D6E-409C-BE32-E72D297353CC}">
                <c16:uniqueId val="{0000000D-9A0B-4D65-8D92-7573C84DA555}"/>
              </c:ext>
            </c:extLst>
          </c:dPt>
          <c:dPt>
            <c:idx val="18"/>
            <c:invertIfNegative val="0"/>
            <c:bubble3D val="0"/>
            <c:extLst>
              <c:ext xmlns:c16="http://schemas.microsoft.com/office/drawing/2014/chart" uri="{C3380CC4-5D6E-409C-BE32-E72D297353CC}">
                <c16:uniqueId val="{0000000A-9A0B-4D65-8D92-7573C84DA555}"/>
              </c:ext>
            </c:extLst>
          </c:dPt>
          <c:dPt>
            <c:idx val="19"/>
            <c:invertIfNegative val="0"/>
            <c:bubble3D val="0"/>
            <c:extLst>
              <c:ext xmlns:c16="http://schemas.microsoft.com/office/drawing/2014/chart" uri="{C3380CC4-5D6E-409C-BE32-E72D297353CC}">
                <c16:uniqueId val="{0000000C-9A0B-4D65-8D92-7573C84DA555}"/>
              </c:ext>
            </c:extLst>
          </c:dPt>
          <c:cat>
            <c:strRef>
              <c:f>'Pivot Tables'!$K$5:$K$15</c:f>
              <c:strCache>
                <c:ptCount val="10"/>
                <c:pt idx="0">
                  <c:v>Predator Freak</c:v>
                </c:pt>
                <c:pt idx="1">
                  <c:v>Ultraboost Light</c:v>
                </c:pt>
                <c:pt idx="2">
                  <c:v>Copa Sense</c:v>
                </c:pt>
                <c:pt idx="3">
                  <c:v>Primegreen Jacket</c:v>
                </c:pt>
                <c:pt idx="4">
                  <c:v>Ultraboost 22</c:v>
                </c:pt>
                <c:pt idx="5">
                  <c:v>Z.N.E. Hoodie</c:v>
                </c:pt>
                <c:pt idx="6">
                  <c:v>NMD_R1</c:v>
                </c:pt>
                <c:pt idx="7">
                  <c:v>Superstar</c:v>
                </c:pt>
                <c:pt idx="8">
                  <c:v>Stan Smith</c:v>
                </c:pt>
                <c:pt idx="9">
                  <c:v>Originals Backpack</c:v>
                </c:pt>
              </c:strCache>
            </c:strRef>
          </c:cat>
          <c:val>
            <c:numRef>
              <c:f>'Pivot Tables'!$M$5:$M$15</c:f>
              <c:numCache>
                <c:formatCode>General</c:formatCode>
                <c:ptCount val="10"/>
                <c:pt idx="0">
                  <c:v>31599.08</c:v>
                </c:pt>
                <c:pt idx="1">
                  <c:v>30192.089999999997</c:v>
                </c:pt>
                <c:pt idx="2">
                  <c:v>27178.44999999999</c:v>
                </c:pt>
                <c:pt idx="3">
                  <c:v>27720.090000000015</c:v>
                </c:pt>
                <c:pt idx="4">
                  <c:v>25555.620000000006</c:v>
                </c:pt>
                <c:pt idx="5">
                  <c:v>24288.029999999995</c:v>
                </c:pt>
                <c:pt idx="6">
                  <c:v>19746.080000000002</c:v>
                </c:pt>
                <c:pt idx="7">
                  <c:v>19507.310000000009</c:v>
                </c:pt>
                <c:pt idx="8">
                  <c:v>19473.910000000003</c:v>
                </c:pt>
                <c:pt idx="9">
                  <c:v>10172.119999999999</c:v>
                </c:pt>
              </c:numCache>
            </c:numRef>
          </c:val>
          <c:extLst>
            <c:ext xmlns:c16="http://schemas.microsoft.com/office/drawing/2014/chart" uri="{C3380CC4-5D6E-409C-BE32-E72D297353CC}">
              <c16:uniqueId val="{00000001-9A0B-4D65-8D92-7573C84DA555}"/>
            </c:ext>
          </c:extLst>
        </c:ser>
        <c:dLbls>
          <c:showLegendKey val="0"/>
          <c:showVal val="0"/>
          <c:showCatName val="0"/>
          <c:showSerName val="0"/>
          <c:showPercent val="0"/>
          <c:showBubbleSize val="0"/>
        </c:dLbls>
        <c:gapWidth val="182"/>
        <c:axId val="1130814552"/>
        <c:axId val="1130823736"/>
      </c:barChart>
      <c:catAx>
        <c:axId val="33624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accent1"/>
                </a:solidFill>
                <a:latin typeface="+mn-lt"/>
                <a:ea typeface="+mn-ea"/>
                <a:cs typeface="+mn-cs"/>
              </a:defRPr>
            </a:pPr>
            <a:endParaRPr lang="en-US"/>
          </a:p>
        </c:txPr>
        <c:crossAx val="336243336"/>
        <c:crosses val="autoZero"/>
        <c:auto val="1"/>
        <c:lblAlgn val="ctr"/>
        <c:lblOffset val="100"/>
        <c:noMultiLvlLbl val="0"/>
      </c:catAx>
      <c:valAx>
        <c:axId val="336243336"/>
        <c:scaling>
          <c:orientation val="minMax"/>
          <c:max val="320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36243664"/>
        <c:crosses val="autoZero"/>
        <c:crossBetween val="between"/>
        <c:majorUnit val="4000"/>
      </c:valAx>
      <c:valAx>
        <c:axId val="1130823736"/>
        <c:scaling>
          <c:orientation val="minMax"/>
          <c:max val="32000"/>
          <c:min val="0"/>
        </c:scaling>
        <c:delete val="1"/>
        <c:axPos val="t"/>
        <c:numFmt formatCode="General" sourceLinked="1"/>
        <c:majorTickMark val="out"/>
        <c:minorTickMark val="none"/>
        <c:tickLblPos val="nextTo"/>
        <c:crossAx val="1130814552"/>
        <c:crosses val="max"/>
        <c:crossBetween val="between"/>
        <c:majorUnit val="4000"/>
      </c:valAx>
      <c:catAx>
        <c:axId val="1130814552"/>
        <c:scaling>
          <c:orientation val="minMax"/>
        </c:scaling>
        <c:delete val="1"/>
        <c:axPos val="l"/>
        <c:numFmt formatCode="General" sourceLinked="1"/>
        <c:majorTickMark val="out"/>
        <c:minorTickMark val="none"/>
        <c:tickLblPos val="nextTo"/>
        <c:crossAx val="1130823736"/>
        <c:crosses val="autoZero"/>
        <c:auto val="1"/>
        <c:lblAlgn val="ctr"/>
        <c:lblOffset val="100"/>
        <c:noMultiLvlLbl val="0"/>
      </c:catAx>
      <c:spPr>
        <a:noFill/>
        <a:ln>
          <a:noFill/>
        </a:ln>
        <a:effectLst/>
      </c:spPr>
    </c:plotArea>
    <c:legend>
      <c:legendPos val="r"/>
      <c:layout>
        <c:manualLayout>
          <c:xMode val="edge"/>
          <c:yMode val="edge"/>
          <c:x val="0.7862132227216746"/>
          <c:y val="0.35167527510872665"/>
          <c:w val="0.20282487759220214"/>
          <c:h val="0.1043458377590522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Tables!PivotTable6</c:name>
    <c:fmtId val="5"/>
  </c:pivotSource>
  <c:chart>
    <c:title>
      <c:tx>
        <c:rich>
          <a:bodyPr rot="0" spcFirstLastPara="1" vertOverflow="ellipsis" vert="horz" wrap="square" anchor="ctr" anchorCtr="1"/>
          <a:lstStyle/>
          <a:p>
            <a:pPr algn="ctr" rtl="0">
              <a:defRPr lang="en-US" sz="1800" b="1" i="0" u="none" strike="noStrike" kern="1200" cap="none" spc="0" baseline="0">
                <a:ln/>
                <a:solidFill>
                  <a:schemeClr val="accent4"/>
                </a:solidFill>
                <a:effectLst/>
                <a:latin typeface="+mn-lt"/>
                <a:ea typeface="+mn-ea"/>
                <a:cs typeface="+mn-cs"/>
              </a:defRPr>
            </a:pPr>
            <a:r>
              <a:rPr lang="en-US" sz="1800" b="1" i="0" u="none" strike="noStrike" kern="1200" cap="none" spc="0" baseline="0">
                <a:ln/>
                <a:solidFill>
                  <a:schemeClr val="accent4"/>
                </a:solidFill>
                <a:effectLst/>
                <a:latin typeface="+mn-lt"/>
                <a:ea typeface="+mn-ea"/>
                <a:cs typeface="+mn-cs"/>
              </a:rPr>
              <a:t>Products Trend Per Months</a:t>
            </a:r>
          </a:p>
        </c:rich>
      </c:tx>
      <c:overlay val="0"/>
      <c:spPr>
        <a:noFill/>
        <a:ln>
          <a:noFill/>
        </a:ln>
        <a:effectLst/>
      </c:spPr>
      <c:txPr>
        <a:bodyPr rot="0" spcFirstLastPara="1" vertOverflow="ellipsis" vert="horz" wrap="square" anchor="ctr" anchorCtr="1"/>
        <a:lstStyle/>
        <a:p>
          <a:pPr algn="ctr" rtl="0">
            <a:defRPr lang="en-US" sz="1800" b="1" i="0" u="none" strike="noStrike" kern="1200" cap="none" spc="0" baseline="0">
              <a:ln/>
              <a:solidFill>
                <a:schemeClr val="accent4"/>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75000"/>
                <a:lumOff val="25000"/>
              </a:schemeClr>
            </a:solidFill>
            <a:round/>
          </a:ln>
          <a:effectLst/>
        </c:spPr>
        <c:marker>
          <c:spPr>
            <a:solidFill>
              <a:srgbClr val="00B050"/>
            </a:solidFill>
            <a:ln w="9525">
              <a:solidFill>
                <a:schemeClr val="tx2">
                  <a:lumMod val="75000"/>
                  <a:lumOff val="25000"/>
                </a:schemeClr>
              </a:solidFill>
            </a:ln>
            <a:effectLst/>
          </c:spPr>
        </c:marker>
      </c:pivotFmt>
      <c:pivotFmt>
        <c:idx val="4"/>
        <c:marker>
          <c:spPr>
            <a:solidFill>
              <a:srgbClr val="00B050"/>
            </a:solidFill>
            <a:ln w="9525">
              <a:solidFill>
                <a:schemeClr val="accent1"/>
              </a:solidFill>
            </a:ln>
            <a:effectLst/>
          </c:spPr>
        </c:marker>
      </c:pivotFmt>
      <c:pivotFmt>
        <c:idx val="5"/>
        <c:spPr>
          <a:solidFill>
            <a:schemeClr val="accent1"/>
          </a:solidFill>
          <a:ln w="28575" cap="rnd">
            <a:solidFill>
              <a:schemeClr val="tx2">
                <a:lumMod val="75000"/>
                <a:lumOff val="25000"/>
              </a:schemeClr>
            </a:solidFill>
            <a:round/>
          </a:ln>
          <a:effectLst/>
        </c:spPr>
        <c:marker>
          <c:spPr>
            <a:solidFill>
              <a:srgbClr val="00B050"/>
            </a:solidFill>
            <a:ln w="9525">
              <a:solidFill>
                <a:schemeClr val="tx2">
                  <a:lumMod val="75000"/>
                  <a:lumOff val="25000"/>
                </a:schemeClr>
              </a:solidFill>
            </a:ln>
            <a:effectLst/>
          </c:spPr>
        </c:marker>
      </c:pivotFmt>
      <c:pivotFmt>
        <c:idx val="6"/>
        <c:spPr>
          <a:solidFill>
            <a:schemeClr val="accent1"/>
          </a:solidFill>
          <a:ln w="28575" cap="rnd">
            <a:solidFill>
              <a:schemeClr val="tx2">
                <a:lumMod val="75000"/>
                <a:lumOff val="25000"/>
              </a:schemeClr>
            </a:solidFill>
            <a:round/>
          </a:ln>
          <a:effectLst/>
        </c:spPr>
        <c:marker>
          <c:spPr>
            <a:solidFill>
              <a:schemeClr val="accent1"/>
            </a:solidFill>
            <a:ln w="9525">
              <a:solidFill>
                <a:schemeClr val="tx2">
                  <a:lumMod val="75000"/>
                  <a:lumOff val="25000"/>
                </a:schemeClr>
              </a:solidFill>
            </a:ln>
            <a:effectLst/>
          </c:spPr>
        </c:marker>
      </c:pivotFmt>
      <c:pivotFmt>
        <c:idx val="7"/>
        <c:spPr>
          <a:solidFill>
            <a:schemeClr val="accent1"/>
          </a:solidFill>
          <a:ln w="28575" cap="rnd">
            <a:solidFill>
              <a:schemeClr val="tx2">
                <a:lumMod val="75000"/>
                <a:lumOff val="25000"/>
              </a:schemeClr>
            </a:solidFill>
            <a:round/>
          </a:ln>
          <a:effectLst/>
        </c:spPr>
        <c:marker>
          <c:spPr>
            <a:solidFill>
              <a:schemeClr val="accent1"/>
            </a:solidFill>
            <a:ln w="9525">
              <a:solidFill>
                <a:schemeClr val="tx2">
                  <a:lumMod val="75000"/>
                  <a:lumOff val="25000"/>
                </a:schemeClr>
              </a:solidFill>
            </a:ln>
            <a:effectLst/>
          </c:spPr>
        </c:marker>
      </c:pivotFmt>
      <c:pivotFmt>
        <c:idx val="8"/>
        <c:spPr>
          <a:ln w="28575" cap="rnd">
            <a:solidFill>
              <a:srgbClr val="FF0000"/>
            </a:solidFill>
            <a:round/>
          </a:ln>
          <a:effectLst/>
        </c:spPr>
        <c:marker>
          <c:symbol val="none"/>
        </c:marker>
      </c:pivotFmt>
      <c:pivotFmt>
        <c:idx val="9"/>
        <c:spPr>
          <a:ln w="28575" cap="rnd">
            <a:solidFill>
              <a:srgbClr val="FF0000"/>
            </a:solidFill>
            <a:round/>
          </a:ln>
          <a:effectLst/>
        </c:spPr>
        <c:marker>
          <c:symbol val="none"/>
        </c:marker>
      </c:pivotFmt>
      <c:pivotFmt>
        <c:idx val="10"/>
        <c:spPr>
          <a:ln w="28575" cap="rnd">
            <a:solidFill>
              <a:srgbClr val="00B050"/>
            </a:solidFill>
            <a:round/>
          </a:ln>
          <a:effectLst/>
        </c:spPr>
        <c:marker>
          <c:symbol val="none"/>
        </c:marker>
      </c:pivotFmt>
      <c:pivotFmt>
        <c:idx val="11"/>
        <c:spPr>
          <a:ln w="28575" cap="rnd">
            <a:solidFill>
              <a:srgbClr val="00B050"/>
            </a:solidFill>
            <a:round/>
          </a:ln>
          <a:effectLst/>
        </c:spPr>
        <c:marker>
          <c:symbol val="none"/>
        </c:marker>
      </c:pivotFmt>
      <c:pivotFmt>
        <c:idx val="12"/>
        <c:spPr>
          <a:ln w="28575" cap="rnd">
            <a:solidFill>
              <a:srgbClr val="00B050"/>
            </a:solidFill>
            <a:round/>
          </a:ln>
          <a:effectLst/>
        </c:spPr>
        <c:marker>
          <c:symbol val="none"/>
        </c:marker>
      </c:pivotFmt>
      <c:pivotFmt>
        <c:idx val="13"/>
        <c:spPr>
          <a:ln w="28575" cap="rnd">
            <a:solidFill>
              <a:srgbClr val="00B050"/>
            </a:solidFill>
            <a:round/>
          </a:ln>
          <a:effectLst/>
        </c:spPr>
        <c:marker>
          <c:symbol val="none"/>
        </c:marker>
      </c:pivotFmt>
      <c:pivotFmt>
        <c:idx val="14"/>
        <c:spPr>
          <a:ln w="28575" cap="rnd">
            <a:solidFill>
              <a:srgbClr val="FF0000"/>
            </a:solidFill>
            <a:round/>
          </a:ln>
          <a:effectLst/>
        </c:spPr>
        <c:marker>
          <c:symbol val="none"/>
        </c:marker>
      </c:pivotFmt>
      <c:pivotFmt>
        <c:idx val="15"/>
        <c:spPr>
          <a:ln w="28575" cap="rnd">
            <a:solidFill>
              <a:schemeClr val="tx2">
                <a:lumMod val="75000"/>
                <a:lumOff val="25000"/>
              </a:schemeClr>
            </a:solidFill>
            <a:round/>
          </a:ln>
          <a:effectLst/>
        </c:spPr>
        <c:marker>
          <c:symbol val="none"/>
        </c:marker>
      </c:pivotFmt>
      <c:pivotFmt>
        <c:idx val="16"/>
        <c:spPr>
          <a:ln w="28575" cap="rnd">
            <a:solidFill>
              <a:schemeClr val="tx2">
                <a:lumMod val="75000"/>
                <a:lumOff val="25000"/>
              </a:schemeClr>
            </a:solidFill>
            <a:round/>
          </a:ln>
          <a:effectLst/>
        </c:spPr>
        <c:marker>
          <c:symbol val="none"/>
        </c:marker>
      </c:pivotFmt>
      <c:pivotFmt>
        <c:idx val="17"/>
        <c:spPr>
          <a:ln w="28575" cap="rnd">
            <a:solidFill>
              <a:schemeClr val="tx2">
                <a:lumMod val="75000"/>
                <a:lumOff val="25000"/>
              </a:schemeClr>
            </a:solidFill>
            <a:round/>
          </a:ln>
          <a:effectLst/>
        </c:spPr>
        <c:marker>
          <c:symbol val="none"/>
        </c:marker>
      </c:pivotFmt>
      <c:pivotFmt>
        <c:idx val="18"/>
        <c:spPr>
          <a:ln w="28575" cap="rnd">
            <a:solidFill>
              <a:srgbClr val="FF0000"/>
            </a:solidFill>
            <a:round/>
          </a:ln>
          <a:effectLst/>
        </c:spPr>
        <c:marker>
          <c:symbol val="none"/>
        </c:marker>
      </c:pivotFmt>
      <c:pivotFmt>
        <c:idx val="19"/>
        <c:spPr>
          <a:ln w="28575" cap="rnd">
            <a:solidFill>
              <a:srgbClr val="FF0000"/>
            </a:solidFill>
            <a:round/>
          </a:ln>
          <a:effectLst/>
        </c:spPr>
        <c:marker>
          <c:symbol val="none"/>
        </c:marker>
      </c:pivotFmt>
      <c:pivotFmt>
        <c:idx val="20"/>
        <c:spPr>
          <a:ln w="28575" cap="rnd">
            <a:solidFill>
              <a:schemeClr val="tx2">
                <a:lumMod val="75000"/>
                <a:lumOff val="25000"/>
              </a:schemeClr>
            </a:solidFill>
            <a:round/>
          </a:ln>
          <a:effectLst/>
        </c:spPr>
        <c:marker>
          <c:symbol val="none"/>
        </c:marker>
      </c:pivotFmt>
      <c:pivotFmt>
        <c:idx val="21"/>
        <c:spPr>
          <a:ln w="28575" cap="rnd">
            <a:solidFill>
              <a:schemeClr val="tx2">
                <a:lumMod val="75000"/>
                <a:lumOff val="25000"/>
              </a:schemeClr>
            </a:solidFill>
            <a:round/>
          </a:ln>
          <a:effectLst/>
        </c:spPr>
        <c:marker>
          <c:symbol val="none"/>
        </c:marker>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rgbClr val="00B050"/>
            </a:solidFill>
            <a:round/>
          </a:ln>
          <a:effectLst/>
        </c:spPr>
        <c:marker>
          <c:symbol val="none"/>
        </c:marker>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23608354253022"/>
          <c:y val="0.11140806416004323"/>
          <c:w val="0.84811982302130395"/>
          <c:h val="0.74795030941865093"/>
        </c:manualLayout>
      </c:layout>
      <c:lineChart>
        <c:grouping val="standard"/>
        <c:varyColors val="0"/>
        <c:ser>
          <c:idx val="0"/>
          <c:order val="0"/>
          <c:tx>
            <c:strRef>
              <c:f>'Pivot Tables'!$V$4</c:f>
              <c:strCache>
                <c:ptCount val="1"/>
                <c:pt idx="0">
                  <c:v>Total</c:v>
                </c:pt>
              </c:strCache>
            </c:strRef>
          </c:tx>
          <c:spPr>
            <a:ln w="28575" cap="rnd">
              <a:solidFill>
                <a:schemeClr val="tx2">
                  <a:lumMod val="75000"/>
                  <a:lumOff val="25000"/>
                </a:schemeClr>
              </a:solidFill>
              <a:round/>
            </a:ln>
            <a:effectLst/>
          </c:spPr>
          <c:marker>
            <c:symbol val="none"/>
          </c:marker>
          <c:dPt>
            <c:idx val="1"/>
            <c:marker>
              <c:symbol val="none"/>
            </c:marker>
            <c:bubble3D val="0"/>
            <c:spPr>
              <a:ln w="28575" cap="rnd">
                <a:solidFill>
                  <a:srgbClr val="FF0000"/>
                </a:solidFill>
                <a:round/>
              </a:ln>
              <a:effectLst/>
            </c:spPr>
            <c:extLst>
              <c:ext xmlns:c16="http://schemas.microsoft.com/office/drawing/2014/chart" uri="{C3380CC4-5D6E-409C-BE32-E72D297353CC}">
                <c16:uniqueId val="{00000004-A670-459A-A755-7C059F73208E}"/>
              </c:ext>
            </c:extLst>
          </c:dPt>
          <c:dPt>
            <c:idx val="2"/>
            <c:marker>
              <c:symbol val="none"/>
            </c:marker>
            <c:bubble3D val="0"/>
            <c:spPr>
              <a:ln w="28575" cap="rnd">
                <a:solidFill>
                  <a:srgbClr val="FF0000"/>
                </a:solidFill>
                <a:round/>
              </a:ln>
              <a:effectLst/>
            </c:spPr>
            <c:extLst>
              <c:ext xmlns:c16="http://schemas.microsoft.com/office/drawing/2014/chart" uri="{C3380CC4-5D6E-409C-BE32-E72D297353CC}">
                <c16:uniqueId val="{00000003-A670-459A-A755-7C059F73208E}"/>
              </c:ext>
            </c:extLst>
          </c:dPt>
          <c:dPt>
            <c:idx val="3"/>
            <c:marker>
              <c:symbol val="none"/>
            </c:marker>
            <c:bubble3D val="0"/>
            <c:spPr>
              <a:ln w="28575" cap="rnd">
                <a:solidFill>
                  <a:srgbClr val="00B050"/>
                </a:solidFill>
                <a:round/>
              </a:ln>
              <a:effectLst/>
            </c:spPr>
            <c:extLst>
              <c:ext xmlns:c16="http://schemas.microsoft.com/office/drawing/2014/chart" uri="{C3380CC4-5D6E-409C-BE32-E72D297353CC}">
                <c16:uniqueId val="{00000002-A670-459A-A755-7C059F73208E}"/>
              </c:ext>
            </c:extLst>
          </c:dPt>
          <c:dPt>
            <c:idx val="4"/>
            <c:marker>
              <c:symbol val="none"/>
            </c:marker>
            <c:bubble3D val="0"/>
            <c:spPr>
              <a:ln w="28575" cap="rnd">
                <a:solidFill>
                  <a:srgbClr val="00B050"/>
                </a:solidFill>
                <a:round/>
              </a:ln>
              <a:effectLst/>
            </c:spPr>
            <c:extLst>
              <c:ext xmlns:c16="http://schemas.microsoft.com/office/drawing/2014/chart" uri="{C3380CC4-5D6E-409C-BE32-E72D297353CC}">
                <c16:uniqueId val="{00000001-A670-459A-A755-7C059F73208E}"/>
              </c:ext>
            </c:extLst>
          </c:dPt>
          <c:dPt>
            <c:idx val="9"/>
            <c:marker>
              <c:symbol val="none"/>
            </c:marker>
            <c:bubble3D val="0"/>
            <c:spPr>
              <a:ln w="28575" cap="rnd">
                <a:solidFill>
                  <a:srgbClr val="00B050"/>
                </a:solidFill>
                <a:round/>
              </a:ln>
              <a:effectLst/>
            </c:spPr>
            <c:extLst>
              <c:ext xmlns:c16="http://schemas.microsoft.com/office/drawing/2014/chart" uri="{C3380CC4-5D6E-409C-BE32-E72D297353CC}">
                <c16:uniqueId val="{00000007-A670-459A-A755-7C059F73208E}"/>
              </c:ext>
            </c:extLst>
          </c:dPt>
          <c:dPt>
            <c:idx val="10"/>
            <c:marker>
              <c:symbol val="none"/>
            </c:marker>
            <c:bubble3D val="0"/>
            <c:spPr>
              <a:ln w="28575" cap="rnd">
                <a:solidFill>
                  <a:srgbClr val="00B050"/>
                </a:solidFill>
                <a:round/>
              </a:ln>
              <a:effectLst/>
            </c:spPr>
            <c:extLst>
              <c:ext xmlns:c16="http://schemas.microsoft.com/office/drawing/2014/chart" uri="{C3380CC4-5D6E-409C-BE32-E72D297353CC}">
                <c16:uniqueId val="{00000008-A670-459A-A755-7C059F73208E}"/>
              </c:ext>
            </c:extLst>
          </c:dPt>
          <c:dPt>
            <c:idx val="14"/>
            <c:marker>
              <c:symbol val="none"/>
            </c:marker>
            <c:bubble3D val="0"/>
            <c:spPr>
              <a:ln w="28575" cap="rnd">
                <a:solidFill>
                  <a:srgbClr val="00B050"/>
                </a:solidFill>
                <a:round/>
              </a:ln>
              <a:effectLst/>
            </c:spPr>
            <c:extLst>
              <c:ext xmlns:c16="http://schemas.microsoft.com/office/drawing/2014/chart" uri="{C3380CC4-5D6E-409C-BE32-E72D297353CC}">
                <c16:uniqueId val="{00000005-A670-459A-A755-7C059F73208E}"/>
              </c:ext>
            </c:extLst>
          </c:dPt>
          <c:dPt>
            <c:idx val="15"/>
            <c:marker>
              <c:symbol val="none"/>
            </c:marker>
            <c:bubble3D val="0"/>
            <c:spPr>
              <a:ln w="28575" cap="rnd">
                <a:solidFill>
                  <a:srgbClr val="FF0000"/>
                </a:solidFill>
                <a:round/>
              </a:ln>
              <a:effectLst/>
            </c:spPr>
            <c:extLst>
              <c:ext xmlns:c16="http://schemas.microsoft.com/office/drawing/2014/chart" uri="{C3380CC4-5D6E-409C-BE32-E72D297353CC}">
                <c16:uniqueId val="{00000006-A670-459A-A755-7C059F73208E}"/>
              </c:ext>
            </c:extLst>
          </c:dPt>
          <c:dPt>
            <c:idx val="30"/>
            <c:marker>
              <c:symbol val="none"/>
            </c:marker>
            <c:bubble3D val="0"/>
            <c:spPr>
              <a:ln w="28575" cap="rnd">
                <a:solidFill>
                  <a:srgbClr val="FF0000"/>
                </a:solidFill>
                <a:round/>
              </a:ln>
              <a:effectLst/>
            </c:spPr>
            <c:extLst>
              <c:ext xmlns:c16="http://schemas.microsoft.com/office/drawing/2014/chart" uri="{C3380CC4-5D6E-409C-BE32-E72D297353CC}">
                <c16:uniqueId val="{00000009-A670-459A-A755-7C059F73208E}"/>
              </c:ext>
            </c:extLst>
          </c:dPt>
          <c:dPt>
            <c:idx val="31"/>
            <c:marker>
              <c:symbol val="none"/>
            </c:marker>
            <c:bubble3D val="0"/>
            <c:spPr>
              <a:ln w="28575" cap="rnd">
                <a:solidFill>
                  <a:srgbClr val="FF0000"/>
                </a:solidFill>
                <a:round/>
              </a:ln>
              <a:effectLst/>
            </c:spPr>
            <c:extLst>
              <c:ext xmlns:c16="http://schemas.microsoft.com/office/drawing/2014/chart" uri="{C3380CC4-5D6E-409C-BE32-E72D297353CC}">
                <c16:uniqueId val="{0000000A-A670-459A-A755-7C059F73208E}"/>
              </c:ext>
            </c:extLst>
          </c:dPt>
          <c:cat>
            <c:multiLvlStrRef>
              <c:f>'Pivot Tables'!$U$5:$U$41</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2023</c:v>
                  </c:pt>
                  <c:pt idx="12">
                    <c:v>2024</c:v>
                  </c:pt>
                  <c:pt idx="24">
                    <c:v>2025</c:v>
                  </c:pt>
                </c:lvl>
              </c:multiLvlStrCache>
            </c:multiLvlStrRef>
          </c:cat>
          <c:val>
            <c:numRef>
              <c:f>'Pivot Tables'!$V$5:$V$41</c:f>
              <c:numCache>
                <c:formatCode>General</c:formatCode>
                <c:ptCount val="33"/>
                <c:pt idx="0">
                  <c:v>8841.15</c:v>
                </c:pt>
                <c:pt idx="1">
                  <c:v>4211.32</c:v>
                </c:pt>
                <c:pt idx="2">
                  <c:v>7985.01</c:v>
                </c:pt>
                <c:pt idx="3">
                  <c:v>12515.289999999999</c:v>
                </c:pt>
                <c:pt idx="4">
                  <c:v>9064.7899999999991</c:v>
                </c:pt>
                <c:pt idx="5">
                  <c:v>7146.25</c:v>
                </c:pt>
                <c:pt idx="6">
                  <c:v>8782.35</c:v>
                </c:pt>
                <c:pt idx="7">
                  <c:v>8107.3900000000021</c:v>
                </c:pt>
                <c:pt idx="8">
                  <c:v>9372.6099999999969</c:v>
                </c:pt>
                <c:pt idx="9">
                  <c:v>12775.49</c:v>
                </c:pt>
                <c:pt idx="10">
                  <c:v>8672.510000000002</c:v>
                </c:pt>
                <c:pt idx="11">
                  <c:v>9874.27</c:v>
                </c:pt>
                <c:pt idx="12">
                  <c:v>10026.959999999999</c:v>
                </c:pt>
                <c:pt idx="13">
                  <c:v>6106.71</c:v>
                </c:pt>
                <c:pt idx="14">
                  <c:v>12667.479999999996</c:v>
                </c:pt>
                <c:pt idx="15">
                  <c:v>5660.27</c:v>
                </c:pt>
                <c:pt idx="16">
                  <c:v>11431.88</c:v>
                </c:pt>
                <c:pt idx="17">
                  <c:v>8589.02</c:v>
                </c:pt>
                <c:pt idx="18">
                  <c:v>7167.1499999999987</c:v>
                </c:pt>
                <c:pt idx="19">
                  <c:v>7369.3200000000015</c:v>
                </c:pt>
                <c:pt idx="20">
                  <c:v>7961.6099999999988</c:v>
                </c:pt>
                <c:pt idx="21">
                  <c:v>7454.29</c:v>
                </c:pt>
                <c:pt idx="22">
                  <c:v>7457.0300000000007</c:v>
                </c:pt>
                <c:pt idx="23">
                  <c:v>11338.03</c:v>
                </c:pt>
                <c:pt idx="24">
                  <c:v>7163.28</c:v>
                </c:pt>
                <c:pt idx="25">
                  <c:v>8547.43</c:v>
                </c:pt>
                <c:pt idx="26">
                  <c:v>8990.6799999999985</c:v>
                </c:pt>
                <c:pt idx="27">
                  <c:v>7592.3999999999987</c:v>
                </c:pt>
                <c:pt idx="28">
                  <c:v>9179.5999999999967</c:v>
                </c:pt>
                <c:pt idx="29">
                  <c:v>9746.06</c:v>
                </c:pt>
                <c:pt idx="30">
                  <c:v>6539.3200000000015</c:v>
                </c:pt>
                <c:pt idx="31">
                  <c:v>8158.16</c:v>
                </c:pt>
                <c:pt idx="32">
                  <c:v>10882.809999999998</c:v>
                </c:pt>
              </c:numCache>
            </c:numRef>
          </c:val>
          <c:smooth val="1"/>
          <c:extLst>
            <c:ext xmlns:c16="http://schemas.microsoft.com/office/drawing/2014/chart" uri="{C3380CC4-5D6E-409C-BE32-E72D297353CC}">
              <c16:uniqueId val="{00000000-E2B3-42B5-8EF1-EC3F8967507E}"/>
            </c:ext>
          </c:extLst>
        </c:ser>
        <c:dLbls>
          <c:showLegendKey val="0"/>
          <c:showVal val="0"/>
          <c:showCatName val="0"/>
          <c:showSerName val="0"/>
          <c:showPercent val="0"/>
          <c:showBubbleSize val="0"/>
        </c:dLbls>
        <c:smooth val="0"/>
        <c:axId val="1218538408"/>
        <c:axId val="1218538736"/>
      </c:lineChart>
      <c:catAx>
        <c:axId val="1218538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18538736"/>
        <c:crosses val="autoZero"/>
        <c:auto val="1"/>
        <c:lblAlgn val="ctr"/>
        <c:lblOffset val="100"/>
        <c:noMultiLvlLbl val="0"/>
      </c:catAx>
      <c:valAx>
        <c:axId val="1218538736"/>
        <c:scaling>
          <c:orientation val="minMax"/>
          <c:max val="13000"/>
        </c:scaling>
        <c:delete val="0"/>
        <c:axPos val="l"/>
        <c:title>
          <c:tx>
            <c:rich>
              <a:bodyPr rot="-5400000" spcFirstLastPara="1" vertOverflow="ellipsis" vert="horz" wrap="square" anchor="ctr" anchorCtr="1"/>
              <a:lstStyle/>
              <a:p>
                <a:pPr>
                  <a:defRPr sz="1100" b="1" i="0" u="none" strike="noStrike" kern="1200" baseline="0">
                    <a:solidFill>
                      <a:schemeClr val="accent1">
                        <a:lumMod val="75000"/>
                      </a:schemeClr>
                    </a:solidFill>
                    <a:latin typeface="+mn-lt"/>
                    <a:ea typeface="+mn-ea"/>
                    <a:cs typeface="+mn-cs"/>
                  </a:defRPr>
                </a:pPr>
                <a:r>
                  <a:rPr lang="en-US" sz="1100" b="1">
                    <a:solidFill>
                      <a:schemeClr val="accent1">
                        <a:lumMod val="75000"/>
                      </a:schemeClr>
                    </a:solidFill>
                  </a:rPr>
                  <a:t>Total</a:t>
                </a:r>
                <a:r>
                  <a:rPr lang="en-US" sz="1100" b="1" baseline="0">
                    <a:solidFill>
                      <a:schemeClr val="accent1">
                        <a:lumMod val="75000"/>
                      </a:schemeClr>
                    </a:solidFill>
                  </a:rPr>
                  <a:t> Sales</a:t>
                </a:r>
                <a:endParaRPr lang="en-US" sz="1100" b="1">
                  <a:solidFill>
                    <a:schemeClr val="accent1">
                      <a:lumMod val="75000"/>
                    </a:schemeClr>
                  </a:solidFill>
                </a:endParaRP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18538408"/>
        <c:crosses val="autoZero"/>
        <c:crossBetween val="between"/>
        <c:majorUnit val="1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Tables!PivotTable4</c:name>
    <c:fmtId val="6"/>
  </c:pivotSource>
  <c:chart>
    <c:title>
      <c:tx>
        <c:rich>
          <a:bodyPr rot="0" spcFirstLastPara="1" vertOverflow="ellipsis" vert="horz" wrap="square" anchor="ctr" anchorCtr="1"/>
          <a:lstStyle/>
          <a:p>
            <a:pPr algn="ctr" rtl="0">
              <a:defRPr lang="en-US" sz="1600" b="1" i="0" u="none" strike="noStrike" kern="1200" cap="none" spc="0" baseline="0">
                <a:ln/>
                <a:solidFill>
                  <a:schemeClr val="accent4"/>
                </a:solidFill>
                <a:effectLst/>
                <a:latin typeface="+mn-lt"/>
                <a:ea typeface="+mn-ea"/>
                <a:cs typeface="+mn-cs"/>
              </a:defRPr>
            </a:pPr>
            <a:r>
              <a:rPr lang="en-US" sz="1600" b="1" i="0" u="none" strike="noStrike" kern="1200" cap="none" spc="0" baseline="0">
                <a:ln/>
                <a:solidFill>
                  <a:srgbClr val="00B050"/>
                </a:solidFill>
                <a:effectLst/>
                <a:latin typeface="+mn-lt"/>
                <a:ea typeface="+mn-ea"/>
                <a:cs typeface="+mn-cs"/>
              </a:rPr>
              <a:t>Egypt</a:t>
            </a:r>
            <a:r>
              <a:rPr lang="en-US" sz="1600" b="1" i="0" u="none" strike="noStrike" kern="1200" cap="none" spc="0" baseline="0">
                <a:ln/>
                <a:solidFill>
                  <a:schemeClr val="accent4"/>
                </a:solidFill>
                <a:effectLst/>
                <a:latin typeface="+mn-lt"/>
                <a:ea typeface="+mn-ea"/>
                <a:cs typeface="+mn-cs"/>
              </a:rPr>
              <a:t> is the best Performing Region</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baseline="0">
              <a:ln/>
              <a:solidFill>
                <a:schemeClr val="accent4"/>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s>
    <c:plotArea>
      <c:layout/>
      <c:barChart>
        <c:barDir val="bar"/>
        <c:grouping val="clustered"/>
        <c:varyColors val="0"/>
        <c:ser>
          <c:idx val="0"/>
          <c:order val="0"/>
          <c:tx>
            <c:strRef>
              <c:f>'Pivot Tables'!$Q$27</c:f>
              <c:strCache>
                <c:ptCount val="1"/>
                <c:pt idx="0">
                  <c:v>Total</c:v>
                </c:pt>
              </c:strCache>
            </c:strRef>
          </c:tx>
          <c:spPr>
            <a:solidFill>
              <a:schemeClr val="tx2">
                <a:lumMod val="75000"/>
                <a:lumOff val="25000"/>
              </a:schemeClr>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4779-4AF2-8C55-163C69EA0A2A}"/>
              </c:ext>
            </c:extLst>
          </c:dPt>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Tables'!$P$28:$P$33</c:f>
              <c:strCache>
                <c:ptCount val="5"/>
                <c:pt idx="0">
                  <c:v>Egypt</c:v>
                </c:pt>
                <c:pt idx="1">
                  <c:v>Iraq</c:v>
                </c:pt>
                <c:pt idx="2">
                  <c:v>KSA</c:v>
                </c:pt>
                <c:pt idx="3">
                  <c:v>Lebanon</c:v>
                </c:pt>
                <c:pt idx="4">
                  <c:v>Oman</c:v>
                </c:pt>
              </c:strCache>
            </c:strRef>
          </c:cat>
          <c:val>
            <c:numRef>
              <c:f>'Pivot Tables'!$Q$28:$Q$33</c:f>
              <c:numCache>
                <c:formatCode>General</c:formatCode>
                <c:ptCount val="5"/>
                <c:pt idx="0">
                  <c:v>86027.88</c:v>
                </c:pt>
                <c:pt idx="1">
                  <c:v>81724.559999999969</c:v>
                </c:pt>
                <c:pt idx="2">
                  <c:v>32966.340000000004</c:v>
                </c:pt>
                <c:pt idx="3">
                  <c:v>17601.979999999996</c:v>
                </c:pt>
                <c:pt idx="4">
                  <c:v>69057.16</c:v>
                </c:pt>
              </c:numCache>
            </c:numRef>
          </c:val>
          <c:extLst>
            <c:ext xmlns:c16="http://schemas.microsoft.com/office/drawing/2014/chart" uri="{C3380CC4-5D6E-409C-BE32-E72D297353CC}">
              <c16:uniqueId val="{00000000-4438-42FD-80E4-6B9585A7E185}"/>
            </c:ext>
          </c:extLst>
        </c:ser>
        <c:dLbls>
          <c:showLegendKey val="0"/>
          <c:showVal val="0"/>
          <c:showCatName val="0"/>
          <c:showSerName val="0"/>
          <c:showPercent val="0"/>
          <c:showBubbleSize val="0"/>
        </c:dLbls>
        <c:gapWidth val="50"/>
        <c:axId val="1262237368"/>
        <c:axId val="1262240648"/>
      </c:barChart>
      <c:catAx>
        <c:axId val="1262237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62240648"/>
        <c:crosses val="autoZero"/>
        <c:auto val="1"/>
        <c:lblAlgn val="ctr"/>
        <c:lblOffset val="100"/>
        <c:noMultiLvlLbl val="0"/>
      </c:catAx>
      <c:valAx>
        <c:axId val="1262240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62237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cap="none" spc="0" baseline="0">
                <a:ln/>
                <a:solidFill>
                  <a:schemeClr val="accent4"/>
                </a:solidFill>
                <a:effectLst/>
                <a:latin typeface="+mn-lt"/>
                <a:ea typeface="+mn-ea"/>
                <a:cs typeface="+mn-cs"/>
              </a:defRPr>
            </a:pPr>
            <a:r>
              <a:rPr lang="en-US" sz="1400" b="1" i="0" u="none" strike="noStrike" kern="1200" cap="none" spc="0" baseline="0">
                <a:ln/>
                <a:solidFill>
                  <a:schemeClr val="accent4"/>
                </a:solidFill>
                <a:effectLst/>
                <a:latin typeface="+mn-lt"/>
                <a:ea typeface="+mn-ea"/>
                <a:cs typeface="+mn-cs"/>
              </a:rPr>
              <a:t>Pareto Line</a:t>
            </a:r>
          </a:p>
        </c:rich>
      </c:tx>
      <c:layout>
        <c:manualLayout>
          <c:xMode val="edge"/>
          <c:yMode val="edge"/>
          <c:x val="0.45093791116339971"/>
          <c:y val="1.0687024185493081E-2"/>
        </c:manualLayout>
      </c:layout>
      <c:overlay val="0"/>
      <c:spPr>
        <a:noFill/>
        <a:ln>
          <a:noFill/>
        </a:ln>
        <a:effectLst/>
      </c:spPr>
      <c:txPr>
        <a:bodyPr rot="0" spcFirstLastPara="1" vertOverflow="ellipsis" vert="horz" wrap="square" anchor="ctr" anchorCtr="1"/>
        <a:lstStyle/>
        <a:p>
          <a:pPr algn="ctr" rtl="0">
            <a:defRPr lang="en-US" sz="1400" b="1" i="0" u="none" strike="noStrike" kern="1200" cap="none" spc="0" baseline="0">
              <a:ln/>
              <a:solidFill>
                <a:schemeClr val="accent4"/>
              </a:solidFill>
              <a:effectLst/>
              <a:latin typeface="+mn-lt"/>
              <a:ea typeface="+mn-ea"/>
              <a:cs typeface="+mn-cs"/>
            </a:defRPr>
          </a:pPr>
          <a:endParaRPr lang="en-US"/>
        </a:p>
      </c:txPr>
    </c:title>
    <c:autoTitleDeleted val="0"/>
    <c:plotArea>
      <c:layout>
        <c:manualLayout>
          <c:layoutTarget val="inner"/>
          <c:xMode val="edge"/>
          <c:yMode val="edge"/>
          <c:x val="0.1591059481473858"/>
          <c:y val="0.13698324661696779"/>
          <c:w val="0.68686040073009169"/>
          <c:h val="0.68313702588251402"/>
        </c:manualLayout>
      </c:layout>
      <c:barChart>
        <c:barDir val="col"/>
        <c:grouping val="clustered"/>
        <c:varyColors val="0"/>
        <c:ser>
          <c:idx val="0"/>
          <c:order val="0"/>
          <c:tx>
            <c:strRef>
              <c:f>'Pivot Tables'!$L$44</c:f>
              <c:strCache>
                <c:ptCount val="1"/>
                <c:pt idx="0">
                  <c:v>Total Sales</c:v>
                </c:pt>
              </c:strCache>
            </c:strRef>
          </c:tx>
          <c:spPr>
            <a:solidFill>
              <a:schemeClr val="bg1">
                <a:lumMod val="75000"/>
              </a:schemeClr>
            </a:solidFill>
            <a:ln>
              <a:noFill/>
            </a:ln>
            <a:effectLst/>
          </c:spPr>
          <c:invertIfNegative val="0"/>
          <c:cat>
            <c:strRef>
              <c:f>'Pivot Tables'!$K$45:$K$55</c:f>
              <c:strCache>
                <c:ptCount val="10"/>
                <c:pt idx="0">
                  <c:v>Predator Freak</c:v>
                </c:pt>
                <c:pt idx="1">
                  <c:v>Ultraboost Light</c:v>
                </c:pt>
                <c:pt idx="2">
                  <c:v>Primegreen Jacket</c:v>
                </c:pt>
                <c:pt idx="3">
                  <c:v>Copa Sense</c:v>
                </c:pt>
                <c:pt idx="4">
                  <c:v>Ultraboost 22</c:v>
                </c:pt>
                <c:pt idx="5">
                  <c:v>Z.N.E. Hoodie</c:v>
                </c:pt>
                <c:pt idx="6">
                  <c:v>NMD_R1</c:v>
                </c:pt>
                <c:pt idx="7">
                  <c:v>Superstar</c:v>
                </c:pt>
                <c:pt idx="8">
                  <c:v>Stan Smith</c:v>
                </c:pt>
                <c:pt idx="9">
                  <c:v>Originals Backpack</c:v>
                </c:pt>
              </c:strCache>
            </c:strRef>
          </c:cat>
          <c:val>
            <c:numRef>
              <c:f>'Pivot Tables'!$L$45:$L$54</c:f>
              <c:numCache>
                <c:formatCode>"$"#,##0.00</c:formatCode>
                <c:ptCount val="10"/>
                <c:pt idx="0">
                  <c:v>31599.08</c:v>
                </c:pt>
                <c:pt idx="1">
                  <c:v>30192.089999999997</c:v>
                </c:pt>
                <c:pt idx="2">
                  <c:v>27720.090000000015</c:v>
                </c:pt>
                <c:pt idx="3">
                  <c:v>27178.44999999999</c:v>
                </c:pt>
                <c:pt idx="4">
                  <c:v>25555.620000000006</c:v>
                </c:pt>
                <c:pt idx="5">
                  <c:v>24288.029999999995</c:v>
                </c:pt>
                <c:pt idx="6">
                  <c:v>19746.080000000002</c:v>
                </c:pt>
                <c:pt idx="7">
                  <c:v>19507.310000000009</c:v>
                </c:pt>
                <c:pt idx="8">
                  <c:v>19473.910000000003</c:v>
                </c:pt>
                <c:pt idx="9">
                  <c:v>10172.119999999999</c:v>
                </c:pt>
              </c:numCache>
            </c:numRef>
          </c:val>
          <c:extLst>
            <c:ext xmlns:c16="http://schemas.microsoft.com/office/drawing/2014/chart" uri="{C3380CC4-5D6E-409C-BE32-E72D297353CC}">
              <c16:uniqueId val="{00000000-79ED-4E5D-B2C0-0743EB89BF83}"/>
            </c:ext>
          </c:extLst>
        </c:ser>
        <c:dLbls>
          <c:showLegendKey val="0"/>
          <c:showVal val="0"/>
          <c:showCatName val="0"/>
          <c:showSerName val="0"/>
          <c:showPercent val="0"/>
          <c:showBubbleSize val="0"/>
        </c:dLbls>
        <c:gapWidth val="50"/>
        <c:axId val="1144337392"/>
        <c:axId val="1144337720"/>
      </c:barChart>
      <c:lineChart>
        <c:grouping val="standard"/>
        <c:varyColors val="0"/>
        <c:ser>
          <c:idx val="1"/>
          <c:order val="1"/>
          <c:tx>
            <c:strRef>
              <c:f>'Pivot Tables'!$N$44</c:f>
              <c:strCache>
                <c:ptCount val="1"/>
                <c:pt idx="0">
                  <c:v>Cumulative %</c:v>
                </c:pt>
              </c:strCache>
            </c:strRef>
          </c:tx>
          <c:spPr>
            <a:ln w="28575" cap="rnd">
              <a:solidFill>
                <a:schemeClr val="accent2"/>
              </a:solidFill>
              <a:round/>
            </a:ln>
            <a:effectLst/>
          </c:spPr>
          <c:marker>
            <c:symbol val="none"/>
          </c:marker>
          <c:cat>
            <c:strRef>
              <c:f>'Pivot Tables'!$K$45:$K$55</c:f>
              <c:strCache>
                <c:ptCount val="10"/>
                <c:pt idx="0">
                  <c:v>Predator Freak</c:v>
                </c:pt>
                <c:pt idx="1">
                  <c:v>Ultraboost Light</c:v>
                </c:pt>
                <c:pt idx="2">
                  <c:v>Primegreen Jacket</c:v>
                </c:pt>
                <c:pt idx="3">
                  <c:v>Copa Sense</c:v>
                </c:pt>
                <c:pt idx="4">
                  <c:v>Ultraboost 22</c:v>
                </c:pt>
                <c:pt idx="5">
                  <c:v>Z.N.E. Hoodie</c:v>
                </c:pt>
                <c:pt idx="6">
                  <c:v>NMD_R1</c:v>
                </c:pt>
                <c:pt idx="7">
                  <c:v>Superstar</c:v>
                </c:pt>
                <c:pt idx="8">
                  <c:v>Stan Smith</c:v>
                </c:pt>
                <c:pt idx="9">
                  <c:v>Originals Backpack</c:v>
                </c:pt>
              </c:strCache>
            </c:strRef>
          </c:cat>
          <c:val>
            <c:numRef>
              <c:f>'Pivot Tables'!$N$45:$N$55</c:f>
              <c:numCache>
                <c:formatCode>0.0%</c:formatCode>
                <c:ptCount val="11"/>
                <c:pt idx="0">
                  <c:v>0.13421699391223263</c:v>
                </c:pt>
                <c:pt idx="1">
                  <c:v>0.26245780218030812</c:v>
                </c:pt>
                <c:pt idx="2">
                  <c:v>0.38019879814527108</c:v>
                </c:pt>
                <c:pt idx="3">
                  <c:v>0.4956391798966992</c:v>
                </c:pt>
                <c:pt idx="4">
                  <c:v>0.60418659627601567</c:v>
                </c:pt>
                <c:pt idx="5">
                  <c:v>0.70734992807713526</c:v>
                </c:pt>
                <c:pt idx="6">
                  <c:v>0.79122134139519573</c:v>
                </c:pt>
                <c:pt idx="7">
                  <c:v>0.87407857988169713</c:v>
                </c:pt>
                <c:pt idx="8">
                  <c:v>0.95679395197219363</c:v>
                </c:pt>
                <c:pt idx="9">
                  <c:v>1.0000000000000002</c:v>
                </c:pt>
              </c:numCache>
            </c:numRef>
          </c:val>
          <c:smooth val="0"/>
          <c:extLst>
            <c:ext xmlns:c16="http://schemas.microsoft.com/office/drawing/2014/chart" uri="{C3380CC4-5D6E-409C-BE32-E72D297353CC}">
              <c16:uniqueId val="{00000001-79ED-4E5D-B2C0-0743EB89BF83}"/>
            </c:ext>
          </c:extLst>
        </c:ser>
        <c:dLbls>
          <c:showLegendKey val="0"/>
          <c:showVal val="0"/>
          <c:showCatName val="0"/>
          <c:showSerName val="0"/>
          <c:showPercent val="0"/>
          <c:showBubbleSize val="0"/>
        </c:dLbls>
        <c:marker val="1"/>
        <c:smooth val="0"/>
        <c:axId val="1144341000"/>
        <c:axId val="1144340344"/>
      </c:lineChart>
      <c:catAx>
        <c:axId val="11443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4337720"/>
        <c:crosses val="autoZero"/>
        <c:auto val="1"/>
        <c:lblAlgn val="ctr"/>
        <c:lblOffset val="100"/>
        <c:noMultiLvlLbl val="0"/>
      </c:catAx>
      <c:valAx>
        <c:axId val="114433772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4337392"/>
        <c:crosses val="autoZero"/>
        <c:crossBetween val="between"/>
      </c:valAx>
      <c:valAx>
        <c:axId val="1144340344"/>
        <c:scaling>
          <c:orientation val="minMax"/>
          <c:max val="1"/>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4341000"/>
        <c:crosses val="max"/>
        <c:crossBetween val="between"/>
      </c:valAx>
      <c:catAx>
        <c:axId val="1144341000"/>
        <c:scaling>
          <c:orientation val="minMax"/>
        </c:scaling>
        <c:delete val="1"/>
        <c:axPos val="b"/>
        <c:numFmt formatCode="General" sourceLinked="1"/>
        <c:majorTickMark val="out"/>
        <c:minorTickMark val="none"/>
        <c:tickLblPos val="nextTo"/>
        <c:crossAx val="1144340344"/>
        <c:crosses val="autoZero"/>
        <c:auto val="1"/>
        <c:lblAlgn val="ctr"/>
        <c:lblOffset val="100"/>
        <c:noMultiLvlLbl val="0"/>
      </c:catAx>
      <c:spPr>
        <a:noFill/>
        <a:ln>
          <a:noFill/>
        </a:ln>
        <a:effectLst/>
      </c:spPr>
    </c:plotArea>
    <c:legend>
      <c:legendPos val="t"/>
      <c:layout>
        <c:manualLayout>
          <c:xMode val="edge"/>
          <c:yMode val="edge"/>
          <c:x val="0.28448908917094029"/>
          <c:y val="9.4099388202927708E-2"/>
          <c:w val="0.39279003429760095"/>
          <c:h val="6.01149317923822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451177</xdr:colOff>
      <xdr:row>0</xdr:row>
      <xdr:rowOff>0</xdr:rowOff>
    </xdr:from>
    <xdr:to>
      <xdr:col>20</xdr:col>
      <xdr:colOff>299219</xdr:colOff>
      <xdr:row>4</xdr:row>
      <xdr:rowOff>36286</xdr:rowOff>
    </xdr:to>
    <xdr:sp macro="" textlink="">
      <xdr:nvSpPr>
        <xdr:cNvPr id="3" name="TextBox 2">
          <a:extLst>
            <a:ext uri="{FF2B5EF4-FFF2-40B4-BE49-F238E27FC236}">
              <a16:creationId xmlns:a16="http://schemas.microsoft.com/office/drawing/2014/main" id="{77D1F115-7A74-40C8-A5DB-6305DE5E8A10}"/>
            </a:ext>
          </a:extLst>
        </xdr:cNvPr>
        <xdr:cNvSpPr txBox="1"/>
      </xdr:nvSpPr>
      <xdr:spPr>
        <a:xfrm>
          <a:off x="5816927" y="0"/>
          <a:ext cx="7806709" cy="75595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u="sng" cap="none" spc="0">
              <a:ln w="12700">
                <a:solidFill>
                  <a:schemeClr val="tx2">
                    <a:lumMod val="75000"/>
                    <a:lumOff val="25000"/>
                  </a:schemeClr>
                </a:solidFill>
                <a:prstDash val="solid"/>
              </a:ln>
              <a:solidFill>
                <a:sysClr val="windowText" lastClr="000000"/>
              </a:solidFill>
              <a:effectLst>
                <a:outerShdw blurRad="50800" dist="38100" dir="2700000" algn="tl" rotWithShape="0">
                  <a:prstClr val="black">
                    <a:alpha val="40000"/>
                  </a:prstClr>
                </a:outerShdw>
              </a:effectLst>
            </a:rPr>
            <a:t>Adidas</a:t>
          </a:r>
          <a:r>
            <a:rPr lang="en-US" sz="3200" b="1" u="sng" cap="none" spc="0" baseline="0">
              <a:ln w="12700">
                <a:solidFill>
                  <a:schemeClr val="tx2">
                    <a:lumMod val="75000"/>
                    <a:lumOff val="25000"/>
                  </a:schemeClr>
                </a:solidFill>
                <a:prstDash val="solid"/>
              </a:ln>
              <a:solidFill>
                <a:sysClr val="windowText" lastClr="000000"/>
              </a:solidFill>
              <a:effectLst>
                <a:outerShdw blurRad="50800" dist="38100" dir="2700000" algn="tl" rotWithShape="0">
                  <a:prstClr val="black">
                    <a:alpha val="40000"/>
                  </a:prstClr>
                </a:outerShdw>
              </a:effectLst>
            </a:rPr>
            <a:t> US </a:t>
          </a:r>
          <a:r>
            <a:rPr lang="en-US" sz="3200" b="1" u="sng" cap="none" spc="0" baseline="0">
              <a:ln w="12700">
                <a:solidFill>
                  <a:schemeClr val="tx2">
                    <a:lumMod val="75000"/>
                    <a:lumOff val="25000"/>
                  </a:schemeClr>
                </a:solidFill>
                <a:prstDash val="solid"/>
              </a:ln>
              <a:solidFill>
                <a:sysClr val="windowText" lastClr="000000"/>
              </a:solidFill>
              <a:effectLst>
                <a:outerShdw blurRad="50800" dist="38100" dir="2700000" algn="tl" rotWithShape="0">
                  <a:prstClr val="black">
                    <a:alpha val="40000"/>
                  </a:prstClr>
                </a:outerShdw>
              </a:effectLst>
              <a:latin typeface="+mn-lt"/>
              <a:ea typeface="+mn-ea"/>
              <a:cs typeface="+mn-cs"/>
            </a:rPr>
            <a:t>Interactive</a:t>
          </a:r>
          <a:r>
            <a:rPr lang="en-US" sz="3200" b="1" u="sng" cap="none" spc="0" baseline="0">
              <a:ln w="12700">
                <a:solidFill>
                  <a:schemeClr val="tx2">
                    <a:lumMod val="75000"/>
                    <a:lumOff val="25000"/>
                  </a:schemeClr>
                </a:solidFill>
                <a:prstDash val="solid"/>
              </a:ln>
              <a:solidFill>
                <a:sysClr val="windowText" lastClr="000000"/>
              </a:solidFill>
              <a:effectLst>
                <a:outerShdw blurRad="50800" dist="38100" dir="2700000" algn="tl" rotWithShape="0">
                  <a:prstClr val="black">
                    <a:alpha val="40000"/>
                  </a:prstClr>
                </a:outerShdw>
              </a:effectLst>
            </a:rPr>
            <a:t> Dashboard</a:t>
          </a:r>
          <a:endParaRPr lang="en-US" sz="3200" b="1" u="sng" cap="none" spc="0">
            <a:ln w="12700">
              <a:solidFill>
                <a:schemeClr val="tx2">
                  <a:lumMod val="75000"/>
                  <a:lumOff val="25000"/>
                </a:schemeClr>
              </a:solidFill>
              <a:prstDash val="solid"/>
            </a:ln>
            <a:solidFill>
              <a:sysClr val="windowText" lastClr="000000"/>
            </a:solidFill>
            <a:effectLst>
              <a:outerShdw blurRad="50800" dist="38100" dir="2700000" algn="tl" rotWithShape="0">
                <a:prstClr val="black">
                  <a:alpha val="40000"/>
                </a:prstClr>
              </a:outerShdw>
            </a:effectLst>
          </a:endParaRPr>
        </a:p>
      </xdr:txBody>
    </xdr:sp>
    <xdr:clientData/>
  </xdr:twoCellAnchor>
  <xdr:twoCellAnchor editAs="oneCell">
    <xdr:from>
      <xdr:col>1</xdr:col>
      <xdr:colOff>44826</xdr:colOff>
      <xdr:row>5</xdr:row>
      <xdr:rowOff>47347</xdr:rowOff>
    </xdr:from>
    <xdr:to>
      <xdr:col>3</xdr:col>
      <xdr:colOff>669073</xdr:colOff>
      <xdr:row>13</xdr:row>
      <xdr:rowOff>91108</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91458EA-1BF4-41D4-A187-D50D8E5CA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826" y="913257"/>
              <a:ext cx="1871720" cy="1934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50960</xdr:colOff>
      <xdr:row>14</xdr:row>
      <xdr:rowOff>141681</xdr:rowOff>
    </xdr:from>
    <xdr:to>
      <xdr:col>4</xdr:col>
      <xdr:colOff>7097</xdr:colOff>
      <xdr:row>21</xdr:row>
      <xdr:rowOff>79091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AF4C2413-011F-43FC-B2E0-47E0BE39315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1317" y="2699824"/>
              <a:ext cx="1990111" cy="1175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30968</xdr:colOff>
      <xdr:row>21</xdr:row>
      <xdr:rowOff>151685</xdr:rowOff>
    </xdr:from>
    <xdr:to>
      <xdr:col>3</xdr:col>
      <xdr:colOff>669464</xdr:colOff>
      <xdr:row>29</xdr:row>
      <xdr:rowOff>146491</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9AB6AFE2-7B4F-46D7-B588-A6229AF84C9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11325" y="3948078"/>
              <a:ext cx="1999210" cy="140994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25542</xdr:colOff>
      <xdr:row>30</xdr:row>
      <xdr:rowOff>48959</xdr:rowOff>
    </xdr:from>
    <xdr:to>
      <xdr:col>3</xdr:col>
      <xdr:colOff>658713</xdr:colOff>
      <xdr:row>37</xdr:row>
      <xdr:rowOff>148622</xdr:rowOff>
    </xdr:to>
    <mc:AlternateContent xmlns:mc="http://schemas.openxmlformats.org/markup-compatibility/2006" xmlns:tsle="http://schemas.microsoft.com/office/drawing/2012/timeslicer">
      <mc:Choice Requires="tsle">
        <xdr:graphicFrame macro="">
          <xdr:nvGraphicFramePr>
            <xdr:cNvPr id="8" name="Order_Date 1">
              <a:extLst>
                <a:ext uri="{FF2B5EF4-FFF2-40B4-BE49-F238E27FC236}">
                  <a16:creationId xmlns:a16="http://schemas.microsoft.com/office/drawing/2014/main" id="{6565222E-AB48-4084-B4EA-24C697DE0EDE}"/>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705899" y="5437388"/>
              <a:ext cx="1993885" cy="13379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260212</xdr:colOff>
      <xdr:row>0</xdr:row>
      <xdr:rowOff>44176</xdr:rowOff>
    </xdr:from>
    <xdr:to>
      <xdr:col>3</xdr:col>
      <xdr:colOff>60740</xdr:colOff>
      <xdr:row>4</xdr:row>
      <xdr:rowOff>90832</xdr:rowOff>
    </xdr:to>
    <xdr:pic>
      <xdr:nvPicPr>
        <xdr:cNvPr id="9" name="Picture 8">
          <a:extLst>
            <a:ext uri="{FF2B5EF4-FFF2-40B4-BE49-F238E27FC236}">
              <a16:creationId xmlns:a16="http://schemas.microsoft.com/office/drawing/2014/main" id="{12F183D9-473A-421B-8F30-A79B9877D9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0212" y="44176"/>
          <a:ext cx="1125745" cy="753439"/>
        </a:xfrm>
        <a:prstGeom prst="rect">
          <a:avLst/>
        </a:prstGeom>
      </xdr:spPr>
    </xdr:pic>
    <xdr:clientData/>
  </xdr:twoCellAnchor>
  <xdr:twoCellAnchor>
    <xdr:from>
      <xdr:col>10</xdr:col>
      <xdr:colOff>273745</xdr:colOff>
      <xdr:row>7</xdr:row>
      <xdr:rowOff>110380</xdr:rowOff>
    </xdr:from>
    <xdr:to>
      <xdr:col>16</xdr:col>
      <xdr:colOff>851649</xdr:colOff>
      <xdr:row>27</xdr:row>
      <xdr:rowOff>54429</xdr:rowOff>
    </xdr:to>
    <xdr:graphicFrame macro="">
      <xdr:nvGraphicFramePr>
        <xdr:cNvPr id="10" name="Chart 9">
          <a:extLst>
            <a:ext uri="{FF2B5EF4-FFF2-40B4-BE49-F238E27FC236}">
              <a16:creationId xmlns:a16="http://schemas.microsoft.com/office/drawing/2014/main" id="{BFD23D12-AF1D-40E5-B56A-EB240EEC5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185696</xdr:colOff>
      <xdr:row>7</xdr:row>
      <xdr:rowOff>121665</xdr:rowOff>
    </xdr:from>
    <xdr:to>
      <xdr:col>10</xdr:col>
      <xdr:colOff>95253</xdr:colOff>
      <xdr:row>27</xdr:row>
      <xdr:rowOff>57980</xdr:rowOff>
    </xdr:to>
    <xdr:graphicFrame macro="">
      <xdr:nvGraphicFramePr>
        <xdr:cNvPr id="12" name="Chart 11">
          <a:extLst>
            <a:ext uri="{FF2B5EF4-FFF2-40B4-BE49-F238E27FC236}">
              <a16:creationId xmlns:a16="http://schemas.microsoft.com/office/drawing/2014/main" id="{44940A63-64EE-4B23-A012-31FC75E81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204110</xdr:colOff>
      <xdr:row>29</xdr:row>
      <xdr:rowOff>157483</xdr:rowOff>
    </xdr:from>
    <xdr:to>
      <xdr:col>10</xdr:col>
      <xdr:colOff>112059</xdr:colOff>
      <xdr:row>49</xdr:row>
      <xdr:rowOff>106454</xdr:rowOff>
    </xdr:to>
    <xdr:graphicFrame macro="">
      <xdr:nvGraphicFramePr>
        <xdr:cNvPr id="11" name="Chart 10">
          <a:extLst>
            <a:ext uri="{FF2B5EF4-FFF2-40B4-BE49-F238E27FC236}">
              <a16:creationId xmlns:a16="http://schemas.microsoft.com/office/drawing/2014/main" id="{4CEB97C8-DD2D-46E6-B489-9480C7CEE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312162</xdr:colOff>
      <xdr:row>29</xdr:row>
      <xdr:rowOff>156079</xdr:rowOff>
    </xdr:from>
    <xdr:to>
      <xdr:col>16</xdr:col>
      <xdr:colOff>862853</xdr:colOff>
      <xdr:row>49</xdr:row>
      <xdr:rowOff>89646</xdr:rowOff>
    </xdr:to>
    <xdr:graphicFrame macro="">
      <xdr:nvGraphicFramePr>
        <xdr:cNvPr id="13" name="Chart 12">
          <a:extLst>
            <a:ext uri="{FF2B5EF4-FFF2-40B4-BE49-F238E27FC236}">
              <a16:creationId xmlns:a16="http://schemas.microsoft.com/office/drawing/2014/main" id="{9CD2B572-EF70-42D8-8BCE-667F3DD19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108856</xdr:colOff>
      <xdr:row>5</xdr:row>
      <xdr:rowOff>115956</xdr:rowOff>
    </xdr:from>
    <xdr:to>
      <xdr:col>4</xdr:col>
      <xdr:colOff>610902</xdr:colOff>
      <xdr:row>6</xdr:row>
      <xdr:rowOff>343583</xdr:rowOff>
    </xdr:to>
    <xdr:pic>
      <xdr:nvPicPr>
        <xdr:cNvPr id="14" name="Picture 13">
          <a:extLst>
            <a:ext uri="{FF2B5EF4-FFF2-40B4-BE49-F238E27FC236}">
              <a16:creationId xmlns:a16="http://schemas.microsoft.com/office/drawing/2014/main" id="{7886DEB8-D059-4086-B3DD-5B1E7BE0D5D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2830285" y="1000420"/>
          <a:ext cx="502046" cy="40452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16</xdr:col>
      <xdr:colOff>1051092</xdr:colOff>
      <xdr:row>7</xdr:row>
      <xdr:rowOff>116135</xdr:rowOff>
    </xdr:from>
    <xdr:to>
      <xdr:col>23</xdr:col>
      <xdr:colOff>470647</xdr:colOff>
      <xdr:row>27</xdr:row>
      <xdr:rowOff>54428</xdr:rowOff>
    </xdr:to>
    <xdr:graphicFrame macro="">
      <xdr:nvGraphicFramePr>
        <xdr:cNvPr id="15" name="Chart 14">
          <a:extLst>
            <a:ext uri="{FF2B5EF4-FFF2-40B4-BE49-F238E27FC236}">
              <a16:creationId xmlns:a16="http://schemas.microsoft.com/office/drawing/2014/main" id="{ED0D581E-C0B1-45D6-A03E-10136F384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1070641</xdr:colOff>
      <xdr:row>30</xdr:row>
      <xdr:rowOff>46425</xdr:rowOff>
    </xdr:from>
    <xdr:to>
      <xdr:col>23</xdr:col>
      <xdr:colOff>476249</xdr:colOff>
      <xdr:row>49</xdr:row>
      <xdr:rowOff>83885</xdr:rowOff>
    </xdr:to>
    <xdr:graphicFrame macro="">
      <xdr:nvGraphicFramePr>
        <xdr:cNvPr id="16" name="Chart 15">
          <a:extLst>
            <a:ext uri="{FF2B5EF4-FFF2-40B4-BE49-F238E27FC236}">
              <a16:creationId xmlns:a16="http://schemas.microsoft.com/office/drawing/2014/main" id="{6E3007EF-B76E-43CF-BB6C-56A8B03D1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29309</xdr:colOff>
      <xdr:row>38</xdr:row>
      <xdr:rowOff>58616</xdr:rowOff>
    </xdr:from>
    <xdr:to>
      <xdr:col>3</xdr:col>
      <xdr:colOff>674078</xdr:colOff>
      <xdr:row>46</xdr:row>
      <xdr:rowOff>117231</xdr:rowOff>
    </xdr:to>
    <xdr:sp macro="" textlink="">
      <xdr:nvSpPr>
        <xdr:cNvPr id="6" name="Rectangle: Rounded Corners 5">
          <a:extLst>
            <a:ext uri="{FF2B5EF4-FFF2-40B4-BE49-F238E27FC236}">
              <a16:creationId xmlns:a16="http://schemas.microsoft.com/office/drawing/2014/main" id="{127C06C2-0274-4882-A88C-75647650443B}"/>
            </a:ext>
          </a:extLst>
        </xdr:cNvPr>
        <xdr:cNvSpPr/>
      </xdr:nvSpPr>
      <xdr:spPr>
        <a:xfrm>
          <a:off x="718040" y="7253654"/>
          <a:ext cx="2022230" cy="1524000"/>
        </a:xfrm>
        <a:prstGeom prst="roundRect">
          <a:avLst/>
        </a:prstGeom>
        <a:solidFill>
          <a:schemeClr val="bg1">
            <a:lumMod val="75000"/>
          </a:schemeClr>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r>
            <a:rPr lang="en-US" sz="1100" b="0" cap="none" spc="0">
              <a:ln w="0"/>
              <a:solidFill>
                <a:schemeClr val="tx1"/>
              </a:solidFill>
              <a:effectLst>
                <a:outerShdw blurRad="38100" dist="19050" dir="2700000" algn="tl" rotWithShape="0">
                  <a:schemeClr val="dk1">
                    <a:alpha val="40000"/>
                  </a:schemeClr>
                </a:outerShdw>
              </a:effectLst>
              <a:latin typeface="+mn-lt"/>
              <a:ea typeface="+mn-ea"/>
              <a:cs typeface="+mn-cs"/>
            </a:rPr>
            <a:t>Key Insignts:</a:t>
          </a:r>
          <a:endParaRPr lang="en-US"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latin typeface="+mn-lt"/>
              <a:ea typeface="+mn-ea"/>
              <a:cs typeface="+mn-cs"/>
            </a:rPr>
            <a:t>* Best Region: Egypt Best</a:t>
          </a:r>
          <a:endParaRPr lang="en-US"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latin typeface="+mn-lt"/>
              <a:ea typeface="+mn-ea"/>
              <a:cs typeface="+mn-cs"/>
            </a:rPr>
            <a:t>* Product: Predator Freak </a:t>
          </a:r>
          <a:endParaRPr lang="en-US"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latin typeface="+mn-lt"/>
              <a:ea typeface="+mn-ea"/>
              <a:cs typeface="+mn-cs"/>
            </a:rPr>
            <a:t>* Highest Profit Store: Online </a:t>
          </a:r>
          <a:endParaRPr lang="en-US"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latin typeface="+mn-lt"/>
              <a:ea typeface="+mn-ea"/>
              <a:cs typeface="+mn-cs"/>
            </a:rPr>
            <a:t>* Profit Margin: 29.6% </a:t>
          </a:r>
          <a:endParaRPr lang="en-US"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latin typeface="+mn-lt"/>
              <a:ea typeface="+mn-ea"/>
              <a:cs typeface="+mn-cs"/>
            </a:rPr>
            <a:t>* YoY Sales Growth: -25.6%</a:t>
          </a:r>
          <a:endParaRPr lang="en-US" b="0" cap="none" spc="0">
            <a:ln w="0"/>
            <a:solidFill>
              <a:schemeClr val="tx1"/>
            </a:solidFill>
            <a:effectLst>
              <a:outerShdw blurRad="38100" dist="19050" dir="2700000" algn="tl" rotWithShape="0">
                <a:schemeClr val="dk1">
                  <a:alpha val="40000"/>
                </a:schemeClr>
              </a:outerShdw>
            </a:effectLst>
          </a:endParaRPr>
        </a:p>
        <a:p>
          <a:pPr eaLnBrk="1" fontAlgn="auto" latinLnBrk="0" hangingPunct="1"/>
          <a:r>
            <a:rPr lang="en-US" sz="1100" b="0" cap="none" spc="0">
              <a:ln w="0"/>
              <a:solidFill>
                <a:schemeClr val="tx1"/>
              </a:solidFill>
              <a:effectLst>
                <a:outerShdw blurRad="38100" dist="19050" dir="2700000" algn="tl" rotWithShape="0">
                  <a:schemeClr val="dk1">
                    <a:alpha val="40000"/>
                  </a:schemeClr>
                </a:outerShdw>
              </a:effectLst>
              <a:latin typeface="+mn-lt"/>
              <a:ea typeface="+mn-ea"/>
              <a:cs typeface="+mn-cs"/>
            </a:rPr>
            <a:t>* YoY Profit Growth: -24.7%</a:t>
          </a:r>
          <a:endParaRPr lang="en-US" b="0" cap="none" spc="0">
            <a:ln w="0"/>
            <a:solidFill>
              <a:schemeClr val="tx1"/>
            </a:solidFill>
            <a:effectLst>
              <a:outerShdw blurRad="38100" dist="19050" dir="2700000" algn="tl" rotWithShape="0">
                <a:schemeClr val="dk1">
                  <a:alpha val="40000"/>
                </a:schemeClr>
              </a:outerShdw>
            </a:effectLst>
          </a:endParaRPr>
        </a:p>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c" refreshedDate="46183.754275694446" createdVersion="7" refreshedVersion="7" minRefreshableVersion="3" recordCount="1200" xr:uid="{0E6CF932-69D6-48FF-B9B6-25E4AC8E95C8}">
  <cacheSource type="worksheet">
    <worksheetSource ref="A1:O1201" sheet="Adidas-US-Interactive-Sales-Pro"/>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6" base="1">
        <rangePr groupBy="months" startDate="2023-01-02T00:00:00" endDate="2025-10-01T00:00:00"/>
        <groupItems count="14">
          <s v="&lt;01/02/2023"/>
          <s v="Jan"/>
          <s v="Feb"/>
          <s v="Mar"/>
          <s v="Apr"/>
          <s v="May"/>
          <s v="Jun"/>
          <s v="Jul"/>
          <s v="Aug"/>
          <s v="Sep"/>
          <s v="Oct"/>
          <s v="Nov"/>
          <s v="Dec"/>
          <s v="&gt;10/01/2025"/>
        </groupItems>
      </fieldGroup>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Total Sales"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acheField>
    <cacheField name="Quarters" numFmtId="0" databaseField="0">
      <fieldGroup base="1">
        <rangePr groupBy="quarters" startDate="2023-01-02T00:00:00" endDate="2025-10-01T00:00:00"/>
        <groupItems count="6">
          <s v="&lt;01/02/2023"/>
          <s v="Qtr1"/>
          <s v="Qtr2"/>
          <s v="Qtr3"/>
          <s v="Qtr4"/>
          <s v="&gt;10/01/2025"/>
        </groupItems>
      </fieldGroup>
    </cacheField>
    <cacheField name="Years" numFmtId="0" databaseField="0">
      <fieldGroup base="1">
        <rangePr groupBy="years" startDate="2023-01-02T00:00:00" endDate="2025-10-01T00:00:00"/>
        <groupItems count="5">
          <s v="&lt;01/02/2023"/>
          <s v="2023"/>
          <s v="2024"/>
          <s v="2025"/>
          <s v="&gt;10/01/2025"/>
        </groupItems>
      </fieldGroup>
    </cacheField>
    <cacheField name="Field1" numFmtId="0" formula="'Total Sales'" databaseField="0"/>
  </cacheFields>
  <extLst>
    <ext xmlns:x14="http://schemas.microsoft.com/office/spreadsheetml/2009/9/main" uri="{725AE2AE-9491-48be-B2B4-4EB974FC3084}">
      <x14:pivotCacheDefinition pivotCacheId="898694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x v="0"/>
    <x v="0"/>
    <x v="0"/>
    <x v="0"/>
    <n v="5"/>
    <n v="49.68"/>
    <n v="0"/>
    <n v="248.4"/>
    <n v="70.400000000000006"/>
    <n v="35"/>
    <x v="0"/>
    <s v="NetBanking"/>
  </r>
  <r>
    <n v="100865"/>
    <x v="1"/>
    <s v="AD-1745-B"/>
    <x v="1"/>
    <x v="0"/>
    <x v="1"/>
    <x v="0"/>
    <n v="2"/>
    <n v="27.07"/>
    <n v="0"/>
    <n v="54.14"/>
    <n v="11.35"/>
    <n v="48"/>
    <x v="0"/>
    <s v="NetBanking"/>
  </r>
  <r>
    <n v="100101"/>
    <x v="2"/>
    <s v="AD-8110-A"/>
    <x v="2"/>
    <x v="1"/>
    <x v="0"/>
    <x v="0"/>
    <n v="3"/>
    <n v="96.58"/>
    <n v="20"/>
    <n v="231.79"/>
    <n v="61.86"/>
    <n v="34"/>
    <x v="1"/>
    <s v="Debit Card"/>
  </r>
  <r>
    <n v="100439"/>
    <x v="3"/>
    <s v="AD-4892-C"/>
    <x v="3"/>
    <x v="2"/>
    <x v="2"/>
    <x v="1"/>
    <n v="5"/>
    <n v="17.489999999999998"/>
    <n v="10"/>
    <n v="78.7"/>
    <n v="35.99"/>
    <n v="30"/>
    <x v="0"/>
    <s v="Apple Pay"/>
  </r>
  <r>
    <n v="100058"/>
    <x v="4"/>
    <s v="AD-8657-B"/>
    <x v="4"/>
    <x v="2"/>
    <x v="1"/>
    <x v="1"/>
    <n v="3"/>
    <n v="58.96"/>
    <n v="5"/>
    <n v="168.04"/>
    <n v="68.38"/>
    <n v="30"/>
    <x v="0"/>
    <s v="PayPal"/>
  </r>
  <r>
    <n v="101120"/>
    <x v="5"/>
    <s v="AD-5267-A"/>
    <x v="5"/>
    <x v="0"/>
    <x v="1"/>
    <x v="0"/>
    <n v="1"/>
    <n v="72.5"/>
    <n v="5"/>
    <n v="68.88"/>
    <n v="16.649999999999999"/>
    <n v="32"/>
    <x v="0"/>
    <s v="Apple Pay"/>
  </r>
  <r>
    <n v="100323"/>
    <x v="6"/>
    <s v="AD-3735-C"/>
    <x v="6"/>
    <x v="1"/>
    <x v="0"/>
    <x v="0"/>
    <n v="4"/>
    <n v="182.16"/>
    <n v="0"/>
    <n v="728.64"/>
    <n v="227.81"/>
    <n v="29"/>
    <x v="0"/>
    <s v="NetBanking"/>
  </r>
  <r>
    <n v="100974"/>
    <x v="7"/>
    <s v="AD-7305-C"/>
    <x v="4"/>
    <x v="2"/>
    <x v="3"/>
    <x v="1"/>
    <n v="3"/>
    <n v="57.19"/>
    <n v="0"/>
    <n v="171.57"/>
    <n v="52.43"/>
    <n v="49"/>
    <x v="0"/>
    <s v="Debit Card"/>
  </r>
  <r>
    <n v="100411"/>
    <x v="8"/>
    <s v="AD-4842-A"/>
    <x v="7"/>
    <x v="1"/>
    <x v="1"/>
    <x v="0"/>
    <n v="3"/>
    <n v="152.09"/>
    <n v="10"/>
    <n v="410.64"/>
    <n v="93.96"/>
    <n v="27"/>
    <x v="0"/>
    <s v="Cash"/>
  </r>
  <r>
    <n v="100855"/>
    <x v="9"/>
    <s v="AD-2386-C"/>
    <x v="8"/>
    <x v="2"/>
    <x v="4"/>
    <x v="1"/>
    <n v="1"/>
    <n v="15.26"/>
    <n v="20"/>
    <n v="12.21"/>
    <n v="3.82"/>
    <n v="33"/>
    <x v="1"/>
    <s v="Google Pay"/>
  </r>
  <r>
    <n v="100820"/>
    <x v="10"/>
    <s v="AD-3148-C"/>
    <x v="3"/>
    <x v="2"/>
    <x v="4"/>
    <x v="2"/>
    <n v="1"/>
    <n v="18.61"/>
    <n v="20"/>
    <n v="14.89"/>
    <n v="6.07"/>
    <n v="25"/>
    <x v="1"/>
    <s v="Google Pay"/>
  </r>
  <r>
    <n v="100044"/>
    <x v="11"/>
    <s v="AD-2146-C"/>
    <x v="8"/>
    <x v="2"/>
    <x v="3"/>
    <x v="1"/>
    <n v="1"/>
    <n v="14.47"/>
    <n v="0"/>
    <n v="14.47"/>
    <n v="3.08"/>
    <n v="34"/>
    <x v="1"/>
    <s v="Apple Pay"/>
  </r>
  <r>
    <n v="100049"/>
    <x v="12"/>
    <s v="AD-8784-A"/>
    <x v="5"/>
    <x v="0"/>
    <x v="4"/>
    <x v="0"/>
    <n v="2"/>
    <n v="64.260000000000005"/>
    <n v="0"/>
    <n v="128.52000000000001"/>
    <n v="48.57"/>
    <n v="18"/>
    <x v="1"/>
    <s v="UPI"/>
  </r>
  <r>
    <n v="100849"/>
    <x v="13"/>
    <s v="AD-6074-D"/>
    <x v="9"/>
    <x v="2"/>
    <x v="1"/>
    <x v="0"/>
    <n v="5"/>
    <n v="21.03"/>
    <n v="10"/>
    <n v="94.64"/>
    <n v="38.46"/>
    <n v="39"/>
    <x v="1"/>
    <s v="Google Pay"/>
  </r>
  <r>
    <n v="100240"/>
    <x v="14"/>
    <s v="AD-4836-C"/>
    <x v="5"/>
    <x v="0"/>
    <x v="0"/>
    <x v="1"/>
    <n v="2"/>
    <n v="64.45"/>
    <n v="0"/>
    <n v="128.9"/>
    <n v="40.96"/>
    <n v="42"/>
    <x v="1"/>
    <s v="NetBanking"/>
  </r>
  <r>
    <n v="100170"/>
    <x v="15"/>
    <s v="AD-4941-D"/>
    <x v="10"/>
    <x v="2"/>
    <x v="0"/>
    <x v="0"/>
    <n v="4"/>
    <n v="44.19"/>
    <n v="0"/>
    <n v="176.76"/>
    <n v="58.37"/>
    <n v="36"/>
    <x v="1"/>
    <s v="Cash"/>
  </r>
  <r>
    <n v="100523"/>
    <x v="16"/>
    <s v="AD-6044-C"/>
    <x v="8"/>
    <x v="2"/>
    <x v="1"/>
    <x v="1"/>
    <n v="4"/>
    <n v="13.98"/>
    <n v="5"/>
    <n v="53.12"/>
    <n v="18.21"/>
    <n v="51"/>
    <x v="0"/>
    <s v="Google Pay"/>
  </r>
  <r>
    <n v="100765"/>
    <x v="17"/>
    <s v="AD-4867-A"/>
    <x v="11"/>
    <x v="0"/>
    <x v="2"/>
    <x v="0"/>
    <n v="3"/>
    <n v="31"/>
    <n v="0"/>
    <n v="93"/>
    <n v="32.93"/>
    <n v="21"/>
    <x v="0"/>
    <s v="PayPal"/>
  </r>
  <r>
    <n v="100838"/>
    <x v="18"/>
    <s v="AD-4954-C"/>
    <x v="8"/>
    <x v="2"/>
    <x v="1"/>
    <x v="1"/>
    <n v="2"/>
    <n v="15.85"/>
    <n v="5"/>
    <n v="30.11"/>
    <n v="12"/>
    <n v="35"/>
    <x v="1"/>
    <s v="NetBanking"/>
  </r>
  <r>
    <n v="100423"/>
    <x v="19"/>
    <s v="AD-2442-D"/>
    <x v="12"/>
    <x v="0"/>
    <x v="4"/>
    <x v="1"/>
    <n v="5"/>
    <n v="150.72999999999999"/>
    <n v="5"/>
    <n v="715.97"/>
    <n v="194.99"/>
    <n v="42"/>
    <x v="0"/>
    <s v="Google Pay"/>
  </r>
  <r>
    <n v="100380"/>
    <x v="20"/>
    <s v="AD-8259-C"/>
    <x v="9"/>
    <x v="2"/>
    <x v="0"/>
    <x v="3"/>
    <n v="2"/>
    <n v="19.09"/>
    <n v="0"/>
    <n v="38.18"/>
    <n v="15.81"/>
    <n v="30"/>
    <x v="1"/>
    <s v="NetBanking"/>
  </r>
  <r>
    <n v="100609"/>
    <x v="21"/>
    <s v="AD-2084-B"/>
    <x v="13"/>
    <x v="0"/>
    <x v="4"/>
    <x v="1"/>
    <n v="6"/>
    <n v="129.94999999999999"/>
    <n v="0"/>
    <n v="779.7"/>
    <n v="212.91"/>
    <n v="32"/>
    <x v="1"/>
    <s v="Cash"/>
  </r>
  <r>
    <n v="100676"/>
    <x v="22"/>
    <s v="AD-1616-B"/>
    <x v="14"/>
    <x v="1"/>
    <x v="0"/>
    <x v="1"/>
    <n v="3"/>
    <n v="226.72"/>
    <n v="20"/>
    <n v="544.13"/>
    <n v="140.88999999999999"/>
    <n v="16"/>
    <x v="1"/>
    <s v="PayPal"/>
  </r>
  <r>
    <n v="100344"/>
    <x v="23"/>
    <s v="AD-9128-A"/>
    <x v="15"/>
    <x v="1"/>
    <x v="4"/>
    <x v="3"/>
    <n v="3"/>
    <n v="146.78"/>
    <n v="0"/>
    <n v="440.34"/>
    <n v="112.48"/>
    <n v="42"/>
    <x v="1"/>
    <s v="Apple Pay"/>
  </r>
  <r>
    <n v="100109"/>
    <x v="24"/>
    <s v="AD-2591-A"/>
    <x v="11"/>
    <x v="0"/>
    <x v="4"/>
    <x v="0"/>
    <n v="3"/>
    <n v="28.99"/>
    <n v="20"/>
    <n v="69.58"/>
    <n v="18.350000000000001"/>
    <n v="37"/>
    <x v="0"/>
    <s v="PayPal"/>
  </r>
  <r>
    <n v="100277"/>
    <x v="25"/>
    <s v="AD-9180-B"/>
    <x v="16"/>
    <x v="1"/>
    <x v="4"/>
    <x v="1"/>
    <n v="4"/>
    <n v="34.950000000000003"/>
    <n v="5"/>
    <n v="132.81"/>
    <n v="48.4"/>
    <n v="26"/>
    <x v="0"/>
    <s v="Apple Pay"/>
  </r>
  <r>
    <n v="100677"/>
    <x v="26"/>
    <s v="AD-1074-B"/>
    <x v="9"/>
    <x v="2"/>
    <x v="4"/>
    <x v="2"/>
    <n v="4"/>
    <n v="22.08"/>
    <n v="0"/>
    <n v="88.32"/>
    <n v="19.61"/>
    <n v="24"/>
    <x v="1"/>
    <s v="Apple Pay"/>
  </r>
  <r>
    <n v="100570"/>
    <x v="27"/>
    <s v="AD-1136-A"/>
    <x v="7"/>
    <x v="1"/>
    <x v="4"/>
    <x v="1"/>
    <n v="3"/>
    <n v="146.31"/>
    <n v="10"/>
    <n v="395.04"/>
    <n v="83.22"/>
    <n v="20"/>
    <x v="1"/>
    <s v="Google Pay"/>
  </r>
  <r>
    <n v="100358"/>
    <x v="28"/>
    <s v="AD-2705-D"/>
    <x v="17"/>
    <x v="2"/>
    <x v="0"/>
    <x v="3"/>
    <n v="1"/>
    <n v="41.79"/>
    <n v="10"/>
    <n v="37.61"/>
    <n v="11.63"/>
    <n v="29"/>
    <x v="0"/>
    <s v="UPI"/>
  </r>
  <r>
    <n v="100598"/>
    <x v="29"/>
    <s v="AD-8460-C"/>
    <x v="7"/>
    <x v="1"/>
    <x v="0"/>
    <x v="1"/>
    <n v="3"/>
    <n v="136.5"/>
    <n v="0"/>
    <n v="409.5"/>
    <n v="106.79"/>
    <n v="31"/>
    <x v="0"/>
    <s v="PayPal"/>
  </r>
  <r>
    <n v="100390"/>
    <x v="18"/>
    <s v="AD-2045-C"/>
    <x v="11"/>
    <x v="0"/>
    <x v="0"/>
    <x v="0"/>
    <n v="4"/>
    <n v="28.95"/>
    <n v="0"/>
    <n v="115.8"/>
    <n v="33.4"/>
    <n v="18"/>
    <x v="0"/>
    <s v="Google Pay"/>
  </r>
  <r>
    <n v="100893"/>
    <x v="30"/>
    <s v="AD-4654-B"/>
    <x v="7"/>
    <x v="1"/>
    <x v="2"/>
    <x v="2"/>
    <n v="5"/>
    <n v="160.34"/>
    <n v="10"/>
    <n v="721.53"/>
    <n v="215.58"/>
    <n v="39"/>
    <x v="1"/>
    <s v="Credit Card"/>
  </r>
  <r>
    <n v="100692"/>
    <x v="31"/>
    <s v="AD-8452-D"/>
    <x v="2"/>
    <x v="1"/>
    <x v="0"/>
    <x v="0"/>
    <n v="3"/>
    <n v="84.09"/>
    <n v="10"/>
    <n v="227.04"/>
    <n v="53.17"/>
    <n v="30"/>
    <x v="1"/>
    <s v="Credit Card"/>
  </r>
  <r>
    <n v="100727"/>
    <x v="32"/>
    <s v="AD-6104-C"/>
    <x v="3"/>
    <x v="2"/>
    <x v="4"/>
    <x v="0"/>
    <n v="4"/>
    <n v="18.77"/>
    <n v="0"/>
    <n v="75.08"/>
    <n v="28.42"/>
    <n v="34"/>
    <x v="1"/>
    <s v="Cash"/>
  </r>
  <r>
    <n v="100362"/>
    <x v="33"/>
    <s v="AD-5831-A"/>
    <x v="17"/>
    <x v="2"/>
    <x v="0"/>
    <x v="0"/>
    <n v="4"/>
    <n v="39.46"/>
    <n v="0"/>
    <n v="157.84"/>
    <n v="46.87"/>
    <n v="21"/>
    <x v="1"/>
    <s v="Credit Card"/>
  </r>
  <r>
    <n v="100596"/>
    <x v="34"/>
    <s v="AD-1601-B"/>
    <x v="8"/>
    <x v="2"/>
    <x v="4"/>
    <x v="0"/>
    <n v="1"/>
    <n v="13.56"/>
    <n v="0"/>
    <n v="13.56"/>
    <n v="5.32"/>
    <n v="34"/>
    <x v="1"/>
    <s v="Cash"/>
  </r>
  <r>
    <n v="100427"/>
    <x v="35"/>
    <s v="AD-9973-C"/>
    <x v="18"/>
    <x v="1"/>
    <x v="4"/>
    <x v="0"/>
    <n v="2"/>
    <n v="87.17"/>
    <n v="0"/>
    <n v="174.34"/>
    <n v="55.33"/>
    <n v="26"/>
    <x v="0"/>
    <s v="NetBanking"/>
  </r>
  <r>
    <n v="100070"/>
    <x v="36"/>
    <s v="AD-1166-B"/>
    <x v="11"/>
    <x v="0"/>
    <x v="1"/>
    <x v="2"/>
    <n v="4"/>
    <n v="31.14"/>
    <n v="0"/>
    <n v="124.56"/>
    <n v="35.28"/>
    <n v="39"/>
    <x v="0"/>
    <s v="NetBanking"/>
  </r>
  <r>
    <n v="100321"/>
    <x v="37"/>
    <s v="AD-6081-D"/>
    <x v="14"/>
    <x v="1"/>
    <x v="1"/>
    <x v="1"/>
    <n v="4"/>
    <n v="233.68"/>
    <n v="0"/>
    <n v="934.72"/>
    <n v="328.49"/>
    <n v="19"/>
    <x v="0"/>
    <s v="Debit Card"/>
  </r>
  <r>
    <n v="100652"/>
    <x v="38"/>
    <s v="AD-4193-C"/>
    <x v="1"/>
    <x v="0"/>
    <x v="4"/>
    <x v="1"/>
    <n v="3"/>
    <n v="27.31"/>
    <n v="0"/>
    <n v="81.93"/>
    <n v="29.76"/>
    <n v="30"/>
    <x v="1"/>
    <s v="UPI"/>
  </r>
  <r>
    <n v="101065"/>
    <x v="39"/>
    <s v="AD-6247-B"/>
    <x v="2"/>
    <x v="1"/>
    <x v="2"/>
    <x v="3"/>
    <n v="7"/>
    <n v="95.23"/>
    <n v="0"/>
    <n v="666.61"/>
    <n v="186.65"/>
    <n v="24"/>
    <x v="0"/>
    <s v="PayPal"/>
  </r>
  <r>
    <n v="100107"/>
    <x v="40"/>
    <s v="AD-7484-C"/>
    <x v="5"/>
    <x v="0"/>
    <x v="1"/>
    <x v="0"/>
    <n v="2"/>
    <n v="70.5"/>
    <n v="5"/>
    <n v="133.94999999999999"/>
    <n v="41.43"/>
    <n v="42"/>
    <x v="0"/>
    <s v="Credit Card"/>
  </r>
  <r>
    <n v="101108"/>
    <x v="41"/>
    <s v="AD-8517-D"/>
    <x v="11"/>
    <x v="0"/>
    <x v="1"/>
    <x v="3"/>
    <n v="5"/>
    <n v="34.01"/>
    <n v="0"/>
    <n v="170.05"/>
    <n v="38.42"/>
    <n v="16"/>
    <x v="1"/>
    <s v="PayPal"/>
  </r>
  <r>
    <n v="100355"/>
    <x v="42"/>
    <s v="AD-6285-B"/>
    <x v="2"/>
    <x v="1"/>
    <x v="3"/>
    <x v="0"/>
    <n v="2"/>
    <n v="97.13"/>
    <n v="5"/>
    <n v="184.55"/>
    <n v="50.99"/>
    <n v="29"/>
    <x v="1"/>
    <s v="NetBanking"/>
  </r>
  <r>
    <n v="100950"/>
    <x v="43"/>
    <s v="AD-7524-D"/>
    <x v="3"/>
    <x v="2"/>
    <x v="4"/>
    <x v="2"/>
    <n v="7"/>
    <n v="16.89"/>
    <n v="0"/>
    <n v="118.23"/>
    <n v="46.38"/>
    <n v="22"/>
    <x v="1"/>
    <s v="Cash"/>
  </r>
  <r>
    <n v="100342"/>
    <x v="44"/>
    <s v="AD-2376-C"/>
    <x v="15"/>
    <x v="1"/>
    <x v="3"/>
    <x v="0"/>
    <n v="4"/>
    <n v="128.36000000000001"/>
    <n v="0"/>
    <n v="513.44000000000005"/>
    <n v="113.36"/>
    <n v="26"/>
    <x v="0"/>
    <s v="Cash"/>
  </r>
  <r>
    <n v="100354"/>
    <x v="26"/>
    <s v="AD-2817-C"/>
    <x v="7"/>
    <x v="1"/>
    <x v="2"/>
    <x v="0"/>
    <n v="2"/>
    <n v="172.35"/>
    <n v="0"/>
    <n v="344.7"/>
    <n v="131.25"/>
    <n v="29"/>
    <x v="1"/>
    <s v="PayPal"/>
  </r>
  <r>
    <n v="100023"/>
    <x v="45"/>
    <s v="AD-1828-A"/>
    <x v="3"/>
    <x v="2"/>
    <x v="2"/>
    <x v="0"/>
    <n v="3"/>
    <n v="19.079999999999998"/>
    <n v="20"/>
    <n v="45.79"/>
    <n v="19.61"/>
    <n v="41"/>
    <x v="0"/>
    <s v="Debit Card"/>
  </r>
  <r>
    <n v="100043"/>
    <x v="46"/>
    <s v="AD-8144-A"/>
    <x v="19"/>
    <x v="1"/>
    <x v="4"/>
    <x v="2"/>
    <n v="5"/>
    <n v="123.22"/>
    <n v="0"/>
    <n v="616.1"/>
    <n v="217.11"/>
    <n v="24"/>
    <x v="1"/>
    <s v="Credit Card"/>
  </r>
  <r>
    <n v="100243"/>
    <x v="47"/>
    <s v="AD-7688-B"/>
    <x v="11"/>
    <x v="0"/>
    <x v="0"/>
    <x v="1"/>
    <n v="4"/>
    <n v="30.87"/>
    <n v="0"/>
    <n v="123.48"/>
    <n v="26.64"/>
    <n v="22"/>
    <x v="1"/>
    <s v="Apple Pay"/>
  </r>
  <r>
    <n v="100737"/>
    <x v="48"/>
    <s v="AD-8486-C"/>
    <x v="0"/>
    <x v="0"/>
    <x v="4"/>
    <x v="0"/>
    <n v="2"/>
    <n v="56.88"/>
    <n v="0"/>
    <n v="113.76"/>
    <n v="35.369999999999997"/>
    <n v="23"/>
    <x v="1"/>
    <s v="NetBanking"/>
  </r>
  <r>
    <n v="101135"/>
    <x v="49"/>
    <s v="AD-2225-D"/>
    <x v="2"/>
    <x v="1"/>
    <x v="0"/>
    <x v="1"/>
    <n v="2"/>
    <n v="99.59"/>
    <n v="5"/>
    <n v="189.22"/>
    <n v="63.97"/>
    <n v="36"/>
    <x v="1"/>
    <s v="NetBanking"/>
  </r>
  <r>
    <n v="100367"/>
    <x v="50"/>
    <s v="AD-3798-C"/>
    <x v="0"/>
    <x v="0"/>
    <x v="0"/>
    <x v="1"/>
    <n v="4"/>
    <n v="54.87"/>
    <n v="0"/>
    <n v="219.48"/>
    <n v="49.53"/>
    <n v="24"/>
    <x v="1"/>
    <s v="UPI"/>
  </r>
  <r>
    <n v="100163"/>
    <x v="51"/>
    <s v="AD-5670-A"/>
    <x v="9"/>
    <x v="2"/>
    <x v="0"/>
    <x v="0"/>
    <n v="1"/>
    <n v="23.03"/>
    <n v="0"/>
    <n v="23.03"/>
    <n v="8.06"/>
    <n v="32"/>
    <x v="0"/>
    <s v="Debit Card"/>
  </r>
  <r>
    <n v="101115"/>
    <x v="52"/>
    <s v="AD-1845-D"/>
    <x v="17"/>
    <x v="2"/>
    <x v="4"/>
    <x v="3"/>
    <n v="5"/>
    <n v="38.71"/>
    <n v="0"/>
    <n v="193.55"/>
    <n v="41.29"/>
    <n v="18"/>
    <x v="1"/>
    <s v="Apple Pay"/>
  </r>
  <r>
    <n v="100332"/>
    <x v="53"/>
    <s v="AD-6488-A"/>
    <x v="4"/>
    <x v="2"/>
    <x v="1"/>
    <x v="1"/>
    <n v="3"/>
    <n v="60.91"/>
    <n v="10"/>
    <n v="164.46"/>
    <n v="65.8"/>
    <n v="41"/>
    <x v="0"/>
    <s v="Credit Card"/>
  </r>
  <r>
    <n v="100988"/>
    <x v="54"/>
    <s v="AD-1353-D"/>
    <x v="9"/>
    <x v="2"/>
    <x v="4"/>
    <x v="2"/>
    <n v="2"/>
    <n v="19.41"/>
    <n v="0"/>
    <n v="38.82"/>
    <n v="9.3800000000000008"/>
    <n v="24"/>
    <x v="0"/>
    <s v="PayPal"/>
  </r>
  <r>
    <n v="101172"/>
    <x v="55"/>
    <s v="AD-5764-B"/>
    <x v="2"/>
    <x v="1"/>
    <x v="4"/>
    <x v="1"/>
    <n v="2"/>
    <n v="82.12"/>
    <n v="0"/>
    <n v="164.24"/>
    <n v="57.54"/>
    <n v="51"/>
    <x v="1"/>
    <s v="Debit Card"/>
  </r>
  <r>
    <n v="101001"/>
    <x v="5"/>
    <s v="AD-9292-C"/>
    <x v="7"/>
    <x v="1"/>
    <x v="4"/>
    <x v="1"/>
    <n v="3"/>
    <n v="131.82"/>
    <n v="10"/>
    <n v="355.91"/>
    <n v="114.03"/>
    <n v="32"/>
    <x v="1"/>
    <s v="Debit Card"/>
  </r>
  <r>
    <n v="100377"/>
    <x v="56"/>
    <s v="AD-1613-B"/>
    <x v="8"/>
    <x v="2"/>
    <x v="2"/>
    <x v="0"/>
    <n v="2"/>
    <n v="15"/>
    <n v="0"/>
    <n v="30"/>
    <n v="9.56"/>
    <n v="24"/>
    <x v="0"/>
    <s v="Google Pay"/>
  </r>
  <r>
    <n v="100309"/>
    <x v="57"/>
    <s v="AD-2494-A"/>
    <x v="7"/>
    <x v="1"/>
    <x v="0"/>
    <x v="1"/>
    <n v="4"/>
    <n v="151.44999999999999"/>
    <n v="10"/>
    <n v="545.22"/>
    <n v="165.42"/>
    <n v="36"/>
    <x v="0"/>
    <s v="Apple Pay"/>
  </r>
  <r>
    <n v="100155"/>
    <x v="58"/>
    <s v="AD-2388-C"/>
    <x v="14"/>
    <x v="1"/>
    <x v="1"/>
    <x v="1"/>
    <n v="2"/>
    <n v="210.8"/>
    <n v="0"/>
    <n v="421.6"/>
    <n v="98.14"/>
    <n v="22"/>
    <x v="0"/>
    <s v="PayPal"/>
  </r>
  <r>
    <n v="100210"/>
    <x v="59"/>
    <s v="AD-2020-B"/>
    <x v="6"/>
    <x v="1"/>
    <x v="1"/>
    <x v="0"/>
    <n v="3"/>
    <n v="166.49"/>
    <n v="5"/>
    <n v="474.5"/>
    <n v="157.63999999999999"/>
    <n v="25"/>
    <x v="1"/>
    <s v="Google Pay"/>
  </r>
  <r>
    <n v="100086"/>
    <x v="60"/>
    <s v="AD-5415-A"/>
    <x v="2"/>
    <x v="1"/>
    <x v="0"/>
    <x v="2"/>
    <n v="4"/>
    <n v="91.09"/>
    <n v="20"/>
    <n v="291.49"/>
    <n v="72.010000000000005"/>
    <n v="25"/>
    <x v="0"/>
    <s v="Credit Card"/>
  </r>
  <r>
    <n v="100168"/>
    <x v="61"/>
    <s v="AD-5720-B"/>
    <x v="16"/>
    <x v="1"/>
    <x v="1"/>
    <x v="1"/>
    <n v="3"/>
    <n v="37.99"/>
    <n v="0"/>
    <n v="113.97"/>
    <n v="40.85"/>
    <n v="27"/>
    <x v="1"/>
    <s v="Debit Card"/>
  </r>
  <r>
    <n v="100994"/>
    <x v="62"/>
    <s v="AD-7498-D"/>
    <x v="4"/>
    <x v="2"/>
    <x v="0"/>
    <x v="0"/>
    <n v="2"/>
    <n v="56.14"/>
    <n v="0"/>
    <n v="112.28"/>
    <n v="38.53"/>
    <n v="17"/>
    <x v="1"/>
    <s v="UPI"/>
  </r>
  <r>
    <n v="100051"/>
    <x v="63"/>
    <s v="AD-3881-D"/>
    <x v="6"/>
    <x v="1"/>
    <x v="2"/>
    <x v="2"/>
    <n v="2"/>
    <n v="193.1"/>
    <n v="0"/>
    <n v="386.2"/>
    <n v="111.95"/>
    <n v="30"/>
    <x v="0"/>
    <s v="UPI"/>
  </r>
  <r>
    <n v="100438"/>
    <x v="64"/>
    <s v="AD-4342-A"/>
    <x v="7"/>
    <x v="1"/>
    <x v="0"/>
    <x v="0"/>
    <n v="2"/>
    <n v="168.9"/>
    <n v="0"/>
    <n v="337.8"/>
    <n v="115.68"/>
    <n v="17"/>
    <x v="1"/>
    <s v="NetBanking"/>
  </r>
  <r>
    <n v="100549"/>
    <x v="42"/>
    <s v="AD-3931-D"/>
    <x v="10"/>
    <x v="2"/>
    <x v="0"/>
    <x v="1"/>
    <n v="4"/>
    <n v="43.59"/>
    <n v="10"/>
    <n v="156.91999999999999"/>
    <n v="58.82"/>
    <n v="28"/>
    <x v="1"/>
    <s v="UPI"/>
  </r>
  <r>
    <n v="100490"/>
    <x v="65"/>
    <s v="AD-1941-B"/>
    <x v="11"/>
    <x v="0"/>
    <x v="4"/>
    <x v="0"/>
    <n v="4"/>
    <n v="29.52"/>
    <n v="10"/>
    <n v="106.27"/>
    <n v="29.71"/>
    <n v="33"/>
    <x v="2"/>
    <s v="NetBanking"/>
  </r>
  <r>
    <n v="100425"/>
    <x v="66"/>
    <s v="AD-8474-C"/>
    <x v="2"/>
    <x v="1"/>
    <x v="3"/>
    <x v="1"/>
    <n v="2"/>
    <n v="91.8"/>
    <n v="0"/>
    <n v="183.6"/>
    <n v="31.17"/>
    <n v="31"/>
    <x v="0"/>
    <s v="UPI"/>
  </r>
  <r>
    <n v="100135"/>
    <x v="67"/>
    <s v="AD-7566-A"/>
    <x v="1"/>
    <x v="0"/>
    <x v="1"/>
    <x v="0"/>
    <n v="2"/>
    <n v="24.81"/>
    <n v="0"/>
    <n v="49.62"/>
    <n v="13.78"/>
    <n v="38"/>
    <x v="1"/>
    <s v="PayPal"/>
  </r>
  <r>
    <n v="101191"/>
    <x v="45"/>
    <s v="AD-3955-C"/>
    <x v="0"/>
    <x v="0"/>
    <x v="4"/>
    <x v="2"/>
    <n v="5"/>
    <n v="54.27"/>
    <n v="0"/>
    <n v="271.35000000000002"/>
    <n v="74.099999999999994"/>
    <n v="17"/>
    <x v="1"/>
    <s v="Google Pay"/>
  </r>
  <r>
    <n v="100054"/>
    <x v="68"/>
    <s v="AD-9849-A"/>
    <x v="5"/>
    <x v="0"/>
    <x v="4"/>
    <x v="0"/>
    <n v="1"/>
    <n v="74.959999999999994"/>
    <n v="40"/>
    <n v="44.98"/>
    <n v="11.34"/>
    <n v="25"/>
    <x v="1"/>
    <s v="Cash"/>
  </r>
  <r>
    <n v="100078"/>
    <x v="69"/>
    <s v="AD-2395-B"/>
    <x v="9"/>
    <x v="2"/>
    <x v="0"/>
    <x v="0"/>
    <n v="4"/>
    <n v="24.67"/>
    <n v="10"/>
    <n v="88.81"/>
    <n v="31.25"/>
    <n v="19"/>
    <x v="1"/>
    <s v="NetBanking"/>
  </r>
  <r>
    <n v="100430"/>
    <x v="70"/>
    <s v="AD-8493-B"/>
    <x v="4"/>
    <x v="2"/>
    <x v="0"/>
    <x v="1"/>
    <n v="2"/>
    <n v="63.2"/>
    <n v="10"/>
    <n v="113.76"/>
    <n v="41.22"/>
    <n v="39"/>
    <x v="1"/>
    <s v="Google Pay"/>
  </r>
  <r>
    <n v="100184"/>
    <x v="71"/>
    <s v="AD-5288-C"/>
    <x v="18"/>
    <x v="1"/>
    <x v="4"/>
    <x v="1"/>
    <n v="2"/>
    <n v="75.760000000000005"/>
    <n v="10"/>
    <n v="136.37"/>
    <n v="38.76"/>
    <n v="17"/>
    <x v="0"/>
    <s v="Debit Card"/>
  </r>
  <r>
    <n v="100056"/>
    <x v="72"/>
    <s v="AD-7232-D"/>
    <x v="15"/>
    <x v="1"/>
    <x v="1"/>
    <x v="2"/>
    <n v="3"/>
    <n v="154.34"/>
    <n v="20"/>
    <n v="370.42"/>
    <n v="121.89"/>
    <n v="35"/>
    <x v="0"/>
    <s v="Credit Card"/>
  </r>
  <r>
    <n v="100942"/>
    <x v="73"/>
    <s v="AD-6060-B"/>
    <x v="17"/>
    <x v="2"/>
    <x v="4"/>
    <x v="0"/>
    <n v="4"/>
    <n v="36.04"/>
    <n v="0"/>
    <n v="144.16"/>
    <n v="60.23"/>
    <n v="35"/>
    <x v="0"/>
    <s v="Debit Card"/>
  </r>
  <r>
    <n v="100850"/>
    <x v="74"/>
    <s v="AD-9270-D"/>
    <x v="13"/>
    <x v="0"/>
    <x v="1"/>
    <x v="1"/>
    <n v="2"/>
    <n v="109.53"/>
    <n v="0"/>
    <n v="219.06"/>
    <n v="71.78"/>
    <n v="31"/>
    <x v="0"/>
    <s v="PayPal"/>
  </r>
  <r>
    <n v="101163"/>
    <x v="75"/>
    <s v="AD-9484-D"/>
    <x v="9"/>
    <x v="2"/>
    <x v="1"/>
    <x v="2"/>
    <n v="3"/>
    <n v="23.8"/>
    <n v="40"/>
    <n v="42.84"/>
    <n v="21.01"/>
    <n v="44"/>
    <x v="1"/>
    <s v="Cash"/>
  </r>
  <r>
    <n v="100218"/>
    <x v="76"/>
    <s v="AD-7666-D"/>
    <x v="4"/>
    <x v="2"/>
    <x v="1"/>
    <x v="1"/>
    <n v="2"/>
    <n v="55.24"/>
    <n v="5"/>
    <n v="104.96"/>
    <n v="18.82"/>
    <n v="43"/>
    <x v="1"/>
    <s v="PayPal"/>
  </r>
  <r>
    <n v="100844"/>
    <x v="77"/>
    <s v="AD-8210-D"/>
    <x v="8"/>
    <x v="2"/>
    <x v="1"/>
    <x v="0"/>
    <n v="3"/>
    <n v="15.38"/>
    <n v="0"/>
    <n v="46.14"/>
    <n v="14.62"/>
    <n v="35"/>
    <x v="1"/>
    <s v="Apple Pay"/>
  </r>
  <r>
    <n v="100113"/>
    <x v="78"/>
    <s v="AD-2479-D"/>
    <x v="5"/>
    <x v="0"/>
    <x v="0"/>
    <x v="3"/>
    <n v="4"/>
    <n v="76.989999999999995"/>
    <n v="0"/>
    <n v="307.95999999999998"/>
    <n v="66.06"/>
    <n v="23"/>
    <x v="0"/>
    <s v="Cash"/>
  </r>
  <r>
    <n v="100548"/>
    <x v="79"/>
    <s v="AD-2276-B"/>
    <x v="15"/>
    <x v="1"/>
    <x v="4"/>
    <x v="0"/>
    <n v="1"/>
    <n v="136.94"/>
    <n v="0"/>
    <n v="136.94"/>
    <n v="32.32"/>
    <n v="16"/>
    <x v="1"/>
    <s v="NetBanking"/>
  </r>
  <r>
    <n v="101018"/>
    <x v="80"/>
    <s v="AD-1227-B"/>
    <x v="9"/>
    <x v="2"/>
    <x v="3"/>
    <x v="2"/>
    <n v="4"/>
    <n v="22.74"/>
    <n v="0"/>
    <n v="90.96"/>
    <n v="32.31"/>
    <n v="24"/>
    <x v="0"/>
    <s v="Apple Pay"/>
  </r>
  <r>
    <n v="101072"/>
    <x v="81"/>
    <s v="AD-7184-A"/>
    <x v="16"/>
    <x v="1"/>
    <x v="4"/>
    <x v="0"/>
    <n v="2"/>
    <n v="32.85"/>
    <n v="0"/>
    <n v="65.7"/>
    <n v="17.73"/>
    <n v="26"/>
    <x v="0"/>
    <s v="PayPal"/>
  </r>
  <r>
    <n v="100174"/>
    <x v="82"/>
    <s v="AD-4302-A"/>
    <x v="7"/>
    <x v="1"/>
    <x v="4"/>
    <x v="1"/>
    <n v="3"/>
    <n v="161.69999999999999"/>
    <n v="0"/>
    <n v="485.1"/>
    <n v="128.55000000000001"/>
    <n v="32"/>
    <x v="1"/>
    <s v="NetBanking"/>
  </r>
  <r>
    <n v="101022"/>
    <x v="83"/>
    <s v="AD-9446-A"/>
    <x v="0"/>
    <x v="0"/>
    <x v="4"/>
    <x v="1"/>
    <n v="2"/>
    <n v="59.29"/>
    <n v="40"/>
    <n v="71.150000000000006"/>
    <n v="25.9"/>
    <n v="21"/>
    <x v="1"/>
    <s v="NetBanking"/>
  </r>
  <r>
    <n v="100615"/>
    <x v="84"/>
    <s v="AD-6460-D"/>
    <x v="12"/>
    <x v="0"/>
    <x v="1"/>
    <x v="0"/>
    <n v="3"/>
    <n v="149.82"/>
    <n v="0"/>
    <n v="449.46"/>
    <n v="118.22"/>
    <n v="25"/>
    <x v="0"/>
    <s v="Debit Card"/>
  </r>
  <r>
    <n v="100513"/>
    <x v="85"/>
    <s v="AD-5663-C"/>
    <x v="18"/>
    <x v="1"/>
    <x v="0"/>
    <x v="1"/>
    <n v="6"/>
    <n v="94.05"/>
    <n v="5"/>
    <n v="536.08000000000004"/>
    <n v="131.25"/>
    <n v="27"/>
    <x v="0"/>
    <s v="PayPal"/>
  </r>
  <r>
    <n v="100461"/>
    <x v="86"/>
    <s v="AD-6182-D"/>
    <x v="3"/>
    <x v="2"/>
    <x v="0"/>
    <x v="1"/>
    <n v="3"/>
    <n v="18.68"/>
    <n v="5"/>
    <n v="53.24"/>
    <n v="22.85"/>
    <n v="35"/>
    <x v="1"/>
    <s v="Cash"/>
  </r>
  <r>
    <n v="100286"/>
    <x v="87"/>
    <s v="AD-4053-D"/>
    <x v="7"/>
    <x v="1"/>
    <x v="1"/>
    <x v="1"/>
    <n v="3"/>
    <n v="172.13"/>
    <n v="5"/>
    <n v="490.57"/>
    <n v="163.9"/>
    <n v="24"/>
    <x v="0"/>
    <s v="PayPal"/>
  </r>
  <r>
    <n v="100381"/>
    <x v="88"/>
    <s v="AD-8937-C"/>
    <x v="4"/>
    <x v="2"/>
    <x v="4"/>
    <x v="0"/>
    <n v="4"/>
    <n v="64.819999999999993"/>
    <n v="0"/>
    <n v="259.27999999999997"/>
    <n v="65.5"/>
    <n v="36"/>
    <x v="0"/>
    <s v="Apple Pay"/>
  </r>
  <r>
    <n v="101007"/>
    <x v="89"/>
    <s v="AD-7876-B"/>
    <x v="16"/>
    <x v="1"/>
    <x v="0"/>
    <x v="1"/>
    <n v="3"/>
    <n v="36.51"/>
    <n v="0"/>
    <n v="109.53"/>
    <n v="37.47"/>
    <n v="30"/>
    <x v="1"/>
    <s v="PayPal"/>
  </r>
  <r>
    <n v="100670"/>
    <x v="81"/>
    <s v="AD-8474-B"/>
    <x v="14"/>
    <x v="1"/>
    <x v="0"/>
    <x v="2"/>
    <n v="2"/>
    <n v="207.35"/>
    <n v="10"/>
    <n v="373.23"/>
    <n v="82.8"/>
    <n v="40"/>
    <x v="0"/>
    <s v="Debit Card"/>
  </r>
  <r>
    <n v="100534"/>
    <x v="90"/>
    <s v="AD-9534-A"/>
    <x v="16"/>
    <x v="1"/>
    <x v="0"/>
    <x v="0"/>
    <n v="3"/>
    <n v="33.51"/>
    <n v="5"/>
    <n v="95.5"/>
    <n v="30.96"/>
    <n v="27"/>
    <x v="1"/>
    <s v="Credit Card"/>
  </r>
  <r>
    <n v="100909"/>
    <x v="91"/>
    <s v="AD-6468-B"/>
    <x v="1"/>
    <x v="0"/>
    <x v="4"/>
    <x v="0"/>
    <n v="2"/>
    <n v="25.83"/>
    <n v="0"/>
    <n v="51.66"/>
    <n v="11.22"/>
    <n v="23"/>
    <x v="1"/>
    <s v="UPI"/>
  </r>
  <r>
    <n v="100292"/>
    <x v="92"/>
    <s v="AD-3733-D"/>
    <x v="7"/>
    <x v="1"/>
    <x v="1"/>
    <x v="2"/>
    <n v="4"/>
    <n v="159.65"/>
    <n v="5"/>
    <n v="606.66999999999996"/>
    <n v="235.76"/>
    <n v="22"/>
    <x v="0"/>
    <s v="PayPal"/>
  </r>
  <r>
    <n v="100123"/>
    <x v="93"/>
    <s v="AD-6304-A"/>
    <x v="7"/>
    <x v="1"/>
    <x v="2"/>
    <x v="0"/>
    <n v="4"/>
    <n v="159.31"/>
    <n v="10"/>
    <n v="573.52"/>
    <n v="164.35"/>
    <n v="21"/>
    <x v="1"/>
    <s v="UPI"/>
  </r>
  <r>
    <n v="100582"/>
    <x v="94"/>
    <s v="AD-7126-B"/>
    <x v="6"/>
    <x v="1"/>
    <x v="0"/>
    <x v="1"/>
    <n v="1"/>
    <n v="173.04"/>
    <n v="5"/>
    <n v="164.39"/>
    <n v="44.29"/>
    <n v="27"/>
    <x v="1"/>
    <s v="Google Pay"/>
  </r>
  <r>
    <n v="100140"/>
    <x v="95"/>
    <s v="AD-2965-A"/>
    <x v="16"/>
    <x v="1"/>
    <x v="4"/>
    <x v="0"/>
    <n v="1"/>
    <n v="36.07"/>
    <n v="5"/>
    <n v="34.270000000000003"/>
    <n v="6.22"/>
    <n v="34"/>
    <x v="1"/>
    <s v="Cash"/>
  </r>
  <r>
    <n v="100735"/>
    <x v="96"/>
    <s v="AD-7948-B"/>
    <x v="17"/>
    <x v="2"/>
    <x v="0"/>
    <x v="0"/>
    <n v="5"/>
    <n v="42.11"/>
    <n v="20"/>
    <n v="168.44"/>
    <n v="51.47"/>
    <n v="23"/>
    <x v="0"/>
    <s v="Apple Pay"/>
  </r>
  <r>
    <n v="100081"/>
    <x v="97"/>
    <s v="AD-8699-C"/>
    <x v="2"/>
    <x v="1"/>
    <x v="4"/>
    <x v="0"/>
    <n v="3"/>
    <n v="105.4"/>
    <n v="20"/>
    <n v="252.96"/>
    <n v="54"/>
    <n v="41"/>
    <x v="1"/>
    <s v="Google Pay"/>
  </r>
  <r>
    <n v="100881"/>
    <x v="98"/>
    <s v="AD-8759-B"/>
    <x v="6"/>
    <x v="1"/>
    <x v="0"/>
    <x v="0"/>
    <n v="4"/>
    <n v="187.89"/>
    <n v="0"/>
    <n v="751.56"/>
    <n v="230.22"/>
    <n v="20"/>
    <x v="1"/>
    <s v="Debit Card"/>
  </r>
  <r>
    <n v="100739"/>
    <x v="99"/>
    <s v="AD-2953-B"/>
    <x v="6"/>
    <x v="1"/>
    <x v="1"/>
    <x v="0"/>
    <n v="5"/>
    <n v="176.55"/>
    <n v="0"/>
    <n v="882.75"/>
    <n v="279.52999999999997"/>
    <n v="31"/>
    <x v="1"/>
    <s v="Debit Card"/>
  </r>
  <r>
    <n v="101101"/>
    <x v="100"/>
    <s v="AD-3695-B"/>
    <x v="1"/>
    <x v="0"/>
    <x v="4"/>
    <x v="2"/>
    <n v="1"/>
    <n v="25.42"/>
    <n v="20"/>
    <n v="20.34"/>
    <n v="4.04"/>
    <n v="39"/>
    <x v="1"/>
    <s v="NetBanking"/>
  </r>
  <r>
    <n v="100908"/>
    <x v="101"/>
    <s v="AD-5825-A"/>
    <x v="6"/>
    <x v="1"/>
    <x v="4"/>
    <x v="1"/>
    <n v="2"/>
    <n v="181.59"/>
    <n v="20"/>
    <n v="290.54000000000002"/>
    <n v="96.12"/>
    <n v="24"/>
    <x v="1"/>
    <s v="Debit Card"/>
  </r>
  <r>
    <n v="101166"/>
    <x v="102"/>
    <s v="AD-9632-B"/>
    <x v="18"/>
    <x v="1"/>
    <x v="2"/>
    <x v="1"/>
    <n v="2"/>
    <n v="74.08"/>
    <n v="0"/>
    <n v="148.16"/>
    <n v="37.58"/>
    <n v="41"/>
    <x v="0"/>
    <s v="Google Pay"/>
  </r>
  <r>
    <n v="100936"/>
    <x v="103"/>
    <s v="AD-4105-B"/>
    <x v="7"/>
    <x v="1"/>
    <x v="4"/>
    <x v="1"/>
    <n v="2"/>
    <n v="170.34"/>
    <n v="0"/>
    <n v="340.68"/>
    <n v="87.76"/>
    <n v="16"/>
    <x v="0"/>
    <s v="Cash"/>
  </r>
  <r>
    <n v="100371"/>
    <x v="104"/>
    <s v="AD-4860-D"/>
    <x v="17"/>
    <x v="2"/>
    <x v="4"/>
    <x v="0"/>
    <n v="3"/>
    <n v="39.229999999999997"/>
    <n v="20"/>
    <n v="94.15"/>
    <n v="24.67"/>
    <n v="18"/>
    <x v="1"/>
    <s v="Google Pay"/>
  </r>
  <r>
    <n v="100889"/>
    <x v="105"/>
    <s v="AD-3415-D"/>
    <x v="17"/>
    <x v="2"/>
    <x v="3"/>
    <x v="1"/>
    <n v="4"/>
    <n v="40.94"/>
    <n v="5"/>
    <n v="155.57"/>
    <n v="37.51"/>
    <n v="35"/>
    <x v="1"/>
    <s v="PayPal"/>
  </r>
  <r>
    <n v="100156"/>
    <x v="106"/>
    <s v="AD-7937-C"/>
    <x v="12"/>
    <x v="0"/>
    <x v="1"/>
    <x v="0"/>
    <n v="1"/>
    <n v="128.75"/>
    <n v="0"/>
    <n v="128.75"/>
    <n v="30.12"/>
    <n v="16"/>
    <x v="0"/>
    <s v="Debit Card"/>
  </r>
  <r>
    <n v="100991"/>
    <x v="107"/>
    <s v="AD-4573-B"/>
    <x v="7"/>
    <x v="1"/>
    <x v="1"/>
    <x v="1"/>
    <n v="5"/>
    <n v="157.84"/>
    <n v="0"/>
    <n v="789.2"/>
    <n v="266.93"/>
    <n v="22"/>
    <x v="0"/>
    <s v="UPI"/>
  </r>
  <r>
    <n v="100621"/>
    <x v="108"/>
    <s v="AD-8629-B"/>
    <x v="11"/>
    <x v="0"/>
    <x v="0"/>
    <x v="1"/>
    <n v="3"/>
    <n v="35.47"/>
    <n v="5"/>
    <n v="101.09"/>
    <n v="28.29"/>
    <n v="25"/>
    <x v="0"/>
    <s v="Debit Card"/>
  </r>
  <r>
    <n v="101037"/>
    <x v="109"/>
    <s v="AD-4473-C"/>
    <x v="13"/>
    <x v="0"/>
    <x v="4"/>
    <x v="0"/>
    <n v="2"/>
    <n v="121.14"/>
    <n v="0"/>
    <n v="242.28"/>
    <n v="77.25"/>
    <n v="16"/>
    <x v="0"/>
    <s v="Cash"/>
  </r>
  <r>
    <n v="100244"/>
    <x v="110"/>
    <s v="AD-8586-A"/>
    <x v="12"/>
    <x v="0"/>
    <x v="1"/>
    <x v="0"/>
    <n v="4"/>
    <n v="132.11000000000001"/>
    <n v="20"/>
    <n v="422.75"/>
    <n v="112.31"/>
    <n v="47"/>
    <x v="1"/>
    <s v="PayPal"/>
  </r>
  <r>
    <n v="100158"/>
    <x v="111"/>
    <s v="AD-6517-B"/>
    <x v="2"/>
    <x v="1"/>
    <x v="0"/>
    <x v="1"/>
    <n v="3"/>
    <n v="112.55"/>
    <n v="5"/>
    <n v="320.77"/>
    <n v="85.58"/>
    <n v="31"/>
    <x v="1"/>
    <s v="Credit Card"/>
  </r>
  <r>
    <n v="100745"/>
    <x v="112"/>
    <s v="AD-8635-B"/>
    <x v="0"/>
    <x v="0"/>
    <x v="4"/>
    <x v="0"/>
    <n v="2"/>
    <n v="51.59"/>
    <n v="0"/>
    <n v="103.18"/>
    <n v="16.66"/>
    <n v="36"/>
    <x v="0"/>
    <s v="Google Pay"/>
  </r>
  <r>
    <n v="100192"/>
    <x v="113"/>
    <s v="AD-9740-A"/>
    <x v="2"/>
    <x v="1"/>
    <x v="0"/>
    <x v="1"/>
    <n v="6"/>
    <n v="108.77"/>
    <n v="40"/>
    <n v="391.57"/>
    <n v="124.48"/>
    <n v="30"/>
    <x v="1"/>
    <s v="NetBanking"/>
  </r>
  <r>
    <n v="100533"/>
    <x v="37"/>
    <s v="AD-8550-A"/>
    <x v="5"/>
    <x v="0"/>
    <x v="3"/>
    <x v="0"/>
    <n v="3"/>
    <n v="64.42"/>
    <n v="5"/>
    <n v="183.6"/>
    <n v="64.400000000000006"/>
    <n v="31"/>
    <x v="2"/>
    <s v="UPI"/>
  </r>
  <r>
    <n v="100903"/>
    <x v="114"/>
    <s v="AD-3932-C"/>
    <x v="10"/>
    <x v="2"/>
    <x v="2"/>
    <x v="1"/>
    <n v="1"/>
    <n v="45.52"/>
    <n v="5"/>
    <n v="43.24"/>
    <n v="16.05"/>
    <n v="34"/>
    <x v="1"/>
    <s v="Google Pay"/>
  </r>
  <r>
    <n v="101003"/>
    <x v="115"/>
    <s v="AD-9818-B"/>
    <x v="8"/>
    <x v="2"/>
    <x v="0"/>
    <x v="1"/>
    <n v="3"/>
    <n v="12.65"/>
    <n v="5"/>
    <n v="36.049999999999997"/>
    <n v="12.05"/>
    <n v="22"/>
    <x v="1"/>
    <s v="Cash"/>
  </r>
  <r>
    <n v="101069"/>
    <x v="116"/>
    <s v="AD-2429-B"/>
    <x v="8"/>
    <x v="2"/>
    <x v="1"/>
    <x v="1"/>
    <n v="1"/>
    <n v="15.32"/>
    <n v="0"/>
    <n v="15.32"/>
    <n v="5.97"/>
    <n v="33"/>
    <x v="1"/>
    <s v="UPI"/>
  </r>
  <r>
    <n v="100413"/>
    <x v="117"/>
    <s v="AD-8606-A"/>
    <x v="18"/>
    <x v="1"/>
    <x v="0"/>
    <x v="1"/>
    <n v="2"/>
    <n v="87.26"/>
    <n v="0"/>
    <n v="174.52"/>
    <n v="46.1"/>
    <n v="31"/>
    <x v="0"/>
    <s v="NetBanking"/>
  </r>
  <r>
    <n v="101186"/>
    <x v="118"/>
    <s v="AD-5742-A"/>
    <x v="5"/>
    <x v="0"/>
    <x v="0"/>
    <x v="1"/>
    <n v="5"/>
    <n v="65.42"/>
    <n v="20"/>
    <n v="261.68"/>
    <n v="107.88"/>
    <n v="26"/>
    <x v="1"/>
    <s v="NetBanking"/>
  </r>
  <r>
    <n v="100327"/>
    <x v="119"/>
    <s v="AD-7870-B"/>
    <x v="15"/>
    <x v="1"/>
    <x v="1"/>
    <x v="0"/>
    <n v="1"/>
    <n v="172.06"/>
    <n v="5"/>
    <n v="163.46"/>
    <n v="33.630000000000003"/>
    <n v="27"/>
    <x v="0"/>
    <s v="Credit Card"/>
  </r>
  <r>
    <n v="100128"/>
    <x v="120"/>
    <s v="AD-8046-D"/>
    <x v="10"/>
    <x v="2"/>
    <x v="4"/>
    <x v="1"/>
    <n v="1"/>
    <n v="41"/>
    <n v="0"/>
    <n v="41"/>
    <n v="18.559999999999999"/>
    <n v="33"/>
    <x v="0"/>
    <s v="UPI"/>
  </r>
  <r>
    <n v="100694"/>
    <x v="121"/>
    <s v="AD-2326-C"/>
    <x v="13"/>
    <x v="0"/>
    <x v="4"/>
    <x v="1"/>
    <n v="3"/>
    <n v="105.09"/>
    <n v="0"/>
    <n v="315.27"/>
    <n v="121.3"/>
    <n v="33"/>
    <x v="0"/>
    <s v="UPI"/>
  </r>
  <r>
    <n v="100630"/>
    <x v="122"/>
    <s v="AD-3403-B"/>
    <x v="15"/>
    <x v="1"/>
    <x v="0"/>
    <x v="2"/>
    <n v="4"/>
    <n v="149.07"/>
    <n v="10"/>
    <n v="536.65"/>
    <n v="128.91999999999999"/>
    <n v="27"/>
    <x v="0"/>
    <s v="Credit Card"/>
  </r>
  <r>
    <n v="100274"/>
    <x v="123"/>
    <s v="AD-3910-D"/>
    <x v="19"/>
    <x v="1"/>
    <x v="1"/>
    <x v="3"/>
    <n v="2"/>
    <n v="138.44999999999999"/>
    <n v="10"/>
    <n v="249.21"/>
    <n v="81.96"/>
    <n v="33"/>
    <x v="1"/>
    <s v="Cash"/>
  </r>
  <r>
    <n v="101147"/>
    <x v="47"/>
    <s v="AD-8989-A"/>
    <x v="9"/>
    <x v="2"/>
    <x v="4"/>
    <x v="0"/>
    <n v="4"/>
    <n v="22.37"/>
    <n v="10"/>
    <n v="80.53"/>
    <n v="21.97"/>
    <n v="18"/>
    <x v="0"/>
    <s v="UPI"/>
  </r>
  <r>
    <n v="100308"/>
    <x v="124"/>
    <s v="AD-2350-C"/>
    <x v="0"/>
    <x v="0"/>
    <x v="3"/>
    <x v="0"/>
    <n v="3"/>
    <n v="60.76"/>
    <n v="20"/>
    <n v="145.82"/>
    <n v="35.86"/>
    <n v="37"/>
    <x v="0"/>
    <s v="NetBanking"/>
  </r>
  <r>
    <n v="100233"/>
    <x v="125"/>
    <s v="AD-2044-A"/>
    <x v="1"/>
    <x v="0"/>
    <x v="0"/>
    <x v="1"/>
    <n v="2"/>
    <n v="28.25"/>
    <n v="0"/>
    <n v="56.5"/>
    <n v="20.77"/>
    <n v="16"/>
    <x v="1"/>
    <s v="Cash"/>
  </r>
  <r>
    <n v="101047"/>
    <x v="73"/>
    <s v="AD-3803-B"/>
    <x v="10"/>
    <x v="2"/>
    <x v="2"/>
    <x v="0"/>
    <n v="4"/>
    <n v="46.38"/>
    <n v="40"/>
    <n v="111.31"/>
    <n v="39.92"/>
    <n v="27"/>
    <x v="1"/>
    <s v="Debit Card"/>
  </r>
  <r>
    <n v="100622"/>
    <x v="12"/>
    <s v="AD-4796-B"/>
    <x v="3"/>
    <x v="2"/>
    <x v="1"/>
    <x v="1"/>
    <n v="5"/>
    <n v="16.43"/>
    <n v="10"/>
    <n v="73.94"/>
    <n v="28.72"/>
    <n v="23"/>
    <x v="0"/>
    <s v="Google Pay"/>
  </r>
  <r>
    <n v="100643"/>
    <x v="126"/>
    <s v="AD-2006-D"/>
    <x v="0"/>
    <x v="0"/>
    <x v="4"/>
    <x v="3"/>
    <n v="3"/>
    <n v="57.22"/>
    <n v="5"/>
    <n v="163.08000000000001"/>
    <n v="47.09"/>
    <n v="25"/>
    <x v="0"/>
    <s v="NetBanking"/>
  </r>
  <r>
    <n v="100478"/>
    <x v="114"/>
    <s v="AD-2778-A"/>
    <x v="13"/>
    <x v="0"/>
    <x v="0"/>
    <x v="0"/>
    <n v="4"/>
    <n v="99.92"/>
    <n v="0"/>
    <n v="399.68"/>
    <n v="145.79"/>
    <n v="30"/>
    <x v="1"/>
    <s v="PayPal"/>
  </r>
  <r>
    <n v="100471"/>
    <x v="127"/>
    <s v="AD-4651-D"/>
    <x v="12"/>
    <x v="0"/>
    <x v="0"/>
    <x v="2"/>
    <n v="4"/>
    <n v="146.13"/>
    <n v="5"/>
    <n v="555.29"/>
    <n v="158.34"/>
    <n v="16"/>
    <x v="1"/>
    <s v="Apple Pay"/>
  </r>
  <r>
    <n v="100925"/>
    <x v="72"/>
    <s v="AD-2565-D"/>
    <x v="5"/>
    <x v="0"/>
    <x v="0"/>
    <x v="0"/>
    <n v="5"/>
    <n v="68.62"/>
    <n v="20"/>
    <n v="274.48"/>
    <n v="76.91"/>
    <n v="39"/>
    <x v="1"/>
    <s v="PayPal"/>
  </r>
  <r>
    <n v="101097"/>
    <x v="128"/>
    <s v="AD-2873-C"/>
    <x v="13"/>
    <x v="0"/>
    <x v="1"/>
    <x v="1"/>
    <n v="3"/>
    <n v="126.03"/>
    <n v="10"/>
    <n v="340.28"/>
    <n v="49.88"/>
    <n v="25"/>
    <x v="1"/>
    <s v="Google Pay"/>
  </r>
  <r>
    <n v="100626"/>
    <x v="69"/>
    <s v="AD-2082-C"/>
    <x v="17"/>
    <x v="2"/>
    <x v="0"/>
    <x v="1"/>
    <n v="3"/>
    <n v="32.78"/>
    <n v="5"/>
    <n v="93.42"/>
    <n v="23.12"/>
    <n v="33"/>
    <x v="0"/>
    <s v="Apple Pay"/>
  </r>
  <r>
    <n v="100394"/>
    <x v="129"/>
    <s v="AD-9311-C"/>
    <x v="5"/>
    <x v="0"/>
    <x v="0"/>
    <x v="1"/>
    <n v="4"/>
    <n v="65.13"/>
    <n v="0"/>
    <n v="260.52"/>
    <n v="90.54"/>
    <n v="27"/>
    <x v="0"/>
    <s v="Cash"/>
  </r>
  <r>
    <n v="100636"/>
    <x v="130"/>
    <s v="AD-8155-B"/>
    <x v="14"/>
    <x v="1"/>
    <x v="4"/>
    <x v="0"/>
    <n v="3"/>
    <n v="228.65"/>
    <n v="10"/>
    <n v="617.36"/>
    <n v="202.8"/>
    <n v="34"/>
    <x v="0"/>
    <s v="Google Pay"/>
  </r>
  <r>
    <n v="100767"/>
    <x v="131"/>
    <s v="AD-4865-D"/>
    <x v="19"/>
    <x v="1"/>
    <x v="0"/>
    <x v="0"/>
    <n v="5"/>
    <n v="121.9"/>
    <n v="10"/>
    <n v="548.54999999999995"/>
    <n v="197.81"/>
    <n v="26"/>
    <x v="0"/>
    <s v="Apple Pay"/>
  </r>
  <r>
    <n v="100532"/>
    <x v="132"/>
    <s v="AD-1206-A"/>
    <x v="12"/>
    <x v="0"/>
    <x v="1"/>
    <x v="0"/>
    <n v="5"/>
    <n v="133.19"/>
    <n v="10"/>
    <n v="599.36"/>
    <n v="148.43"/>
    <n v="27"/>
    <x v="0"/>
    <s v="Apple Pay"/>
  </r>
  <r>
    <n v="100717"/>
    <x v="133"/>
    <s v="AD-4264-B"/>
    <x v="6"/>
    <x v="1"/>
    <x v="2"/>
    <x v="0"/>
    <n v="3"/>
    <n v="164.39"/>
    <n v="5"/>
    <n v="468.51"/>
    <n v="126.16"/>
    <n v="24"/>
    <x v="0"/>
    <s v="PayPal"/>
  </r>
  <r>
    <n v="100666"/>
    <x v="134"/>
    <s v="AD-9015-D"/>
    <x v="3"/>
    <x v="2"/>
    <x v="4"/>
    <x v="0"/>
    <n v="3"/>
    <n v="14.85"/>
    <n v="0"/>
    <n v="44.55"/>
    <n v="18.43"/>
    <n v="37"/>
    <x v="0"/>
    <s v="UPI"/>
  </r>
  <r>
    <n v="100597"/>
    <x v="135"/>
    <s v="AD-2784-D"/>
    <x v="15"/>
    <x v="1"/>
    <x v="2"/>
    <x v="0"/>
    <n v="4"/>
    <n v="163.38999999999999"/>
    <n v="0"/>
    <n v="653.55999999999995"/>
    <n v="153.12"/>
    <n v="44"/>
    <x v="0"/>
    <s v="Credit Card"/>
  </r>
  <r>
    <n v="100481"/>
    <x v="136"/>
    <s v="AD-9553-D"/>
    <x v="19"/>
    <x v="1"/>
    <x v="4"/>
    <x v="3"/>
    <n v="3"/>
    <n v="116.64"/>
    <n v="0"/>
    <n v="349.92"/>
    <n v="99.73"/>
    <n v="29"/>
    <x v="0"/>
    <s v="Apple Pay"/>
  </r>
  <r>
    <n v="101102"/>
    <x v="137"/>
    <s v="AD-6811-D"/>
    <x v="4"/>
    <x v="2"/>
    <x v="1"/>
    <x v="1"/>
    <n v="3"/>
    <n v="62.34"/>
    <n v="5"/>
    <n v="177.67"/>
    <n v="80.61"/>
    <n v="16"/>
    <x v="0"/>
    <s v="Apple Pay"/>
  </r>
  <r>
    <n v="100314"/>
    <x v="138"/>
    <s v="AD-6759-D"/>
    <x v="16"/>
    <x v="1"/>
    <x v="4"/>
    <x v="1"/>
    <n v="1"/>
    <n v="36.619999999999997"/>
    <n v="10"/>
    <n v="32.96"/>
    <n v="10.42"/>
    <n v="23"/>
    <x v="0"/>
    <s v="Apple Pay"/>
  </r>
  <r>
    <n v="100728"/>
    <x v="139"/>
    <s v="AD-1471-A"/>
    <x v="3"/>
    <x v="2"/>
    <x v="0"/>
    <x v="1"/>
    <n v="6"/>
    <n v="16.850000000000001"/>
    <n v="0"/>
    <n v="101.1"/>
    <n v="19.86"/>
    <n v="33"/>
    <x v="1"/>
    <s v="NetBanking"/>
  </r>
  <r>
    <n v="100209"/>
    <x v="140"/>
    <s v="AD-1517-A"/>
    <x v="10"/>
    <x v="2"/>
    <x v="0"/>
    <x v="2"/>
    <n v="4"/>
    <n v="46.63"/>
    <n v="0"/>
    <n v="186.52"/>
    <n v="50.18"/>
    <n v="33"/>
    <x v="1"/>
    <s v="UPI"/>
  </r>
  <r>
    <n v="100933"/>
    <x v="141"/>
    <s v="AD-7399-C"/>
    <x v="15"/>
    <x v="1"/>
    <x v="0"/>
    <x v="1"/>
    <n v="4"/>
    <n v="160.63999999999999"/>
    <n v="0"/>
    <n v="642.55999999999995"/>
    <n v="185.67"/>
    <n v="30"/>
    <x v="0"/>
    <s v="Debit Card"/>
  </r>
  <r>
    <n v="100433"/>
    <x v="142"/>
    <s v="AD-8419-B"/>
    <x v="19"/>
    <x v="1"/>
    <x v="0"/>
    <x v="0"/>
    <n v="2"/>
    <n v="144.58000000000001"/>
    <n v="0"/>
    <n v="289.16000000000003"/>
    <n v="96.15"/>
    <n v="17"/>
    <x v="0"/>
    <s v="NetBanking"/>
  </r>
  <r>
    <n v="100328"/>
    <x v="143"/>
    <s v="AD-2956-A"/>
    <x v="5"/>
    <x v="0"/>
    <x v="0"/>
    <x v="0"/>
    <n v="3"/>
    <n v="61"/>
    <n v="5"/>
    <n v="173.85"/>
    <n v="56.81"/>
    <n v="37"/>
    <x v="1"/>
    <s v="Cash"/>
  </r>
  <r>
    <n v="100260"/>
    <x v="144"/>
    <s v="AD-4764-B"/>
    <x v="4"/>
    <x v="2"/>
    <x v="1"/>
    <x v="3"/>
    <n v="3"/>
    <n v="65.61"/>
    <n v="0"/>
    <n v="196.83"/>
    <n v="53.06"/>
    <n v="41"/>
    <x v="0"/>
    <s v="Credit Card"/>
  </r>
  <r>
    <n v="101116"/>
    <x v="145"/>
    <s v="AD-4784-A"/>
    <x v="12"/>
    <x v="0"/>
    <x v="4"/>
    <x v="2"/>
    <n v="2"/>
    <n v="141.53"/>
    <n v="0"/>
    <n v="283.06"/>
    <n v="79.69"/>
    <n v="24"/>
    <x v="1"/>
    <s v="Apple Pay"/>
  </r>
  <r>
    <n v="100306"/>
    <x v="146"/>
    <s v="AD-1752-A"/>
    <x v="17"/>
    <x v="2"/>
    <x v="2"/>
    <x v="1"/>
    <n v="2"/>
    <n v="41.02"/>
    <n v="10"/>
    <n v="73.84"/>
    <n v="24.2"/>
    <n v="29"/>
    <x v="0"/>
    <s v="Credit Card"/>
  </r>
  <r>
    <n v="101066"/>
    <x v="147"/>
    <s v="AD-5562-B"/>
    <x v="3"/>
    <x v="2"/>
    <x v="0"/>
    <x v="1"/>
    <n v="1"/>
    <n v="17.850000000000001"/>
    <n v="0"/>
    <n v="17.850000000000001"/>
    <n v="6.66"/>
    <n v="25"/>
    <x v="1"/>
    <s v="Apple Pay"/>
  </r>
  <r>
    <n v="100927"/>
    <x v="148"/>
    <s v="AD-9264-C"/>
    <x v="9"/>
    <x v="2"/>
    <x v="0"/>
    <x v="0"/>
    <n v="3"/>
    <n v="24.11"/>
    <n v="5"/>
    <n v="68.709999999999994"/>
    <n v="20.82"/>
    <n v="33"/>
    <x v="1"/>
    <s v="Debit Card"/>
  </r>
  <r>
    <n v="101024"/>
    <x v="149"/>
    <s v="AD-8058-D"/>
    <x v="18"/>
    <x v="1"/>
    <x v="2"/>
    <x v="0"/>
    <n v="2"/>
    <n v="87"/>
    <n v="10"/>
    <n v="156.6"/>
    <n v="48.93"/>
    <n v="42"/>
    <x v="1"/>
    <s v="Debit Card"/>
  </r>
  <r>
    <n v="100270"/>
    <x v="150"/>
    <s v="AD-9537-B"/>
    <x v="12"/>
    <x v="0"/>
    <x v="0"/>
    <x v="1"/>
    <n v="3"/>
    <n v="133.34"/>
    <n v="0"/>
    <n v="400.02"/>
    <n v="81.25"/>
    <n v="28"/>
    <x v="2"/>
    <s v="UPI"/>
  </r>
  <r>
    <n v="100290"/>
    <x v="151"/>
    <s v="AD-3194-C"/>
    <x v="3"/>
    <x v="2"/>
    <x v="0"/>
    <x v="1"/>
    <n v="3"/>
    <n v="18.2"/>
    <n v="0"/>
    <n v="54.6"/>
    <n v="11.26"/>
    <n v="38"/>
    <x v="1"/>
    <s v="Debit Card"/>
  </r>
  <r>
    <n v="100812"/>
    <x v="152"/>
    <s v="AD-4083-A"/>
    <x v="12"/>
    <x v="0"/>
    <x v="4"/>
    <x v="0"/>
    <n v="3"/>
    <n v="145.30000000000001"/>
    <n v="0"/>
    <n v="435.9"/>
    <n v="105.17"/>
    <n v="36"/>
    <x v="1"/>
    <s v="Credit Card"/>
  </r>
  <r>
    <n v="100096"/>
    <x v="153"/>
    <s v="AD-4090-B"/>
    <x v="8"/>
    <x v="2"/>
    <x v="1"/>
    <x v="1"/>
    <n v="1"/>
    <n v="14.47"/>
    <n v="5"/>
    <n v="13.75"/>
    <n v="6.06"/>
    <n v="22"/>
    <x v="1"/>
    <s v="Cash"/>
  </r>
  <r>
    <n v="100887"/>
    <x v="154"/>
    <s v="AD-3064-C"/>
    <x v="16"/>
    <x v="1"/>
    <x v="4"/>
    <x v="1"/>
    <n v="2"/>
    <n v="31.96"/>
    <n v="10"/>
    <n v="57.53"/>
    <n v="20.43"/>
    <n v="27"/>
    <x v="0"/>
    <s v="UPI"/>
  </r>
  <r>
    <n v="100818"/>
    <x v="155"/>
    <s v="AD-8755-A"/>
    <x v="6"/>
    <x v="1"/>
    <x v="1"/>
    <x v="0"/>
    <n v="3"/>
    <n v="164.27"/>
    <n v="5"/>
    <n v="468.17"/>
    <n v="143.62"/>
    <n v="30"/>
    <x v="0"/>
    <s v="Apple Pay"/>
  </r>
  <r>
    <n v="100031"/>
    <x v="156"/>
    <s v="AD-2127-B"/>
    <x v="17"/>
    <x v="2"/>
    <x v="4"/>
    <x v="0"/>
    <n v="6"/>
    <n v="36.380000000000003"/>
    <n v="0"/>
    <n v="218.28"/>
    <n v="51.1"/>
    <n v="23"/>
    <x v="1"/>
    <s v="Cash"/>
  </r>
  <r>
    <n v="100762"/>
    <x v="157"/>
    <s v="AD-8952-D"/>
    <x v="5"/>
    <x v="0"/>
    <x v="4"/>
    <x v="0"/>
    <n v="3"/>
    <n v="67.83"/>
    <n v="10"/>
    <n v="183.14"/>
    <n v="47.92"/>
    <n v="27"/>
    <x v="0"/>
    <s v="Google Pay"/>
  </r>
  <r>
    <n v="100953"/>
    <x v="158"/>
    <s v="AD-8688-B"/>
    <x v="0"/>
    <x v="0"/>
    <x v="1"/>
    <x v="1"/>
    <n v="4"/>
    <n v="55.8"/>
    <n v="5"/>
    <n v="212.04"/>
    <n v="65.12"/>
    <n v="20"/>
    <x v="1"/>
    <s v="PayPal"/>
  </r>
  <r>
    <n v="100319"/>
    <x v="159"/>
    <s v="AD-9209-D"/>
    <x v="1"/>
    <x v="0"/>
    <x v="2"/>
    <x v="3"/>
    <n v="3"/>
    <n v="27.45"/>
    <n v="20"/>
    <n v="65.88"/>
    <n v="13.79"/>
    <n v="39"/>
    <x v="1"/>
    <s v="NetBanking"/>
  </r>
  <r>
    <n v="100298"/>
    <x v="160"/>
    <s v="AD-4438-C"/>
    <x v="1"/>
    <x v="0"/>
    <x v="0"/>
    <x v="0"/>
    <n v="2"/>
    <n v="26.59"/>
    <n v="5"/>
    <n v="50.52"/>
    <n v="10.34"/>
    <n v="33"/>
    <x v="2"/>
    <s v="UPI"/>
  </r>
  <r>
    <n v="100199"/>
    <x v="161"/>
    <s v="AD-9171-C"/>
    <x v="13"/>
    <x v="0"/>
    <x v="0"/>
    <x v="0"/>
    <n v="1"/>
    <n v="127.46"/>
    <n v="0"/>
    <n v="127.46"/>
    <n v="39.47"/>
    <n v="32"/>
    <x v="1"/>
    <s v="Google Pay"/>
  </r>
  <r>
    <n v="100560"/>
    <x v="16"/>
    <s v="AD-1827-D"/>
    <x v="15"/>
    <x v="1"/>
    <x v="0"/>
    <x v="0"/>
    <n v="5"/>
    <n v="154.01"/>
    <n v="5"/>
    <n v="731.55"/>
    <n v="213.79"/>
    <n v="26"/>
    <x v="0"/>
    <s v="PayPal"/>
  </r>
  <r>
    <n v="100178"/>
    <x v="162"/>
    <s v="AD-9937-C"/>
    <x v="10"/>
    <x v="2"/>
    <x v="4"/>
    <x v="0"/>
    <n v="3"/>
    <n v="40.39"/>
    <n v="40"/>
    <n v="72.7"/>
    <n v="28.43"/>
    <n v="29"/>
    <x v="1"/>
    <s v="PayPal"/>
  </r>
  <r>
    <n v="101131"/>
    <x v="24"/>
    <s v="AD-8363-B"/>
    <x v="12"/>
    <x v="0"/>
    <x v="0"/>
    <x v="0"/>
    <n v="5"/>
    <n v="148.16"/>
    <n v="5"/>
    <n v="703.76"/>
    <n v="201.68"/>
    <n v="26"/>
    <x v="0"/>
    <s v="Debit Card"/>
  </r>
  <r>
    <n v="100088"/>
    <x v="163"/>
    <s v="AD-9117-C"/>
    <x v="11"/>
    <x v="0"/>
    <x v="1"/>
    <x v="0"/>
    <n v="3"/>
    <n v="28.67"/>
    <n v="5"/>
    <n v="81.709999999999994"/>
    <n v="17.010000000000002"/>
    <n v="34"/>
    <x v="1"/>
    <s v="Apple Pay"/>
  </r>
  <r>
    <n v="100787"/>
    <x v="148"/>
    <s v="AD-1087-C"/>
    <x v="11"/>
    <x v="0"/>
    <x v="3"/>
    <x v="3"/>
    <n v="2"/>
    <n v="30.36"/>
    <n v="0"/>
    <n v="60.72"/>
    <n v="10.79"/>
    <n v="30"/>
    <x v="0"/>
    <s v="Credit Card"/>
  </r>
  <r>
    <n v="100724"/>
    <x v="164"/>
    <s v="AD-6180-C"/>
    <x v="16"/>
    <x v="1"/>
    <x v="4"/>
    <x v="0"/>
    <n v="2"/>
    <n v="35.39"/>
    <n v="0"/>
    <n v="70.78"/>
    <n v="24.76"/>
    <n v="21"/>
    <x v="0"/>
    <s v="Cash"/>
  </r>
  <r>
    <n v="100826"/>
    <x v="165"/>
    <s v="AD-2734-A"/>
    <x v="15"/>
    <x v="1"/>
    <x v="1"/>
    <x v="1"/>
    <n v="4"/>
    <n v="148.62"/>
    <n v="0"/>
    <n v="594.48"/>
    <n v="166.9"/>
    <n v="21"/>
    <x v="0"/>
    <s v="Debit Card"/>
  </r>
  <r>
    <n v="100208"/>
    <x v="166"/>
    <s v="AD-1841-D"/>
    <x v="9"/>
    <x v="2"/>
    <x v="0"/>
    <x v="3"/>
    <n v="3"/>
    <n v="23.29"/>
    <n v="40"/>
    <n v="41.92"/>
    <n v="13.6"/>
    <n v="31"/>
    <x v="0"/>
    <s v="UPI"/>
  </r>
  <r>
    <n v="101039"/>
    <x v="167"/>
    <s v="AD-6920-C"/>
    <x v="18"/>
    <x v="1"/>
    <x v="0"/>
    <x v="1"/>
    <n v="4"/>
    <n v="88.19"/>
    <n v="0"/>
    <n v="352.76"/>
    <n v="102.78"/>
    <n v="35"/>
    <x v="1"/>
    <s v="Cash"/>
  </r>
  <r>
    <n v="100296"/>
    <x v="168"/>
    <s v="AD-5389-C"/>
    <x v="3"/>
    <x v="2"/>
    <x v="0"/>
    <x v="1"/>
    <n v="3"/>
    <n v="18.149999999999999"/>
    <n v="0"/>
    <n v="54.45"/>
    <n v="13.66"/>
    <n v="30"/>
    <x v="1"/>
    <s v="Debit Card"/>
  </r>
  <r>
    <n v="100997"/>
    <x v="169"/>
    <s v="AD-5888-B"/>
    <x v="18"/>
    <x v="1"/>
    <x v="4"/>
    <x v="1"/>
    <n v="2"/>
    <n v="73.12"/>
    <n v="0"/>
    <n v="146.24"/>
    <n v="45.75"/>
    <n v="39"/>
    <x v="0"/>
    <s v="Apple Pay"/>
  </r>
  <r>
    <n v="100497"/>
    <x v="170"/>
    <s v="AD-8548-A"/>
    <x v="3"/>
    <x v="2"/>
    <x v="0"/>
    <x v="1"/>
    <n v="3"/>
    <n v="17.920000000000002"/>
    <n v="0"/>
    <n v="53.76"/>
    <n v="19.989999999999998"/>
    <n v="22"/>
    <x v="0"/>
    <s v="Google Pay"/>
  </r>
  <r>
    <n v="100834"/>
    <x v="171"/>
    <s v="AD-6638-A"/>
    <x v="12"/>
    <x v="0"/>
    <x v="0"/>
    <x v="2"/>
    <n v="2"/>
    <n v="154.19999999999999"/>
    <n v="0"/>
    <n v="308.39999999999998"/>
    <n v="91.69"/>
    <n v="17"/>
    <x v="0"/>
    <s v="Cash"/>
  </r>
  <r>
    <n v="100429"/>
    <x v="172"/>
    <s v="AD-6536-A"/>
    <x v="16"/>
    <x v="1"/>
    <x v="3"/>
    <x v="0"/>
    <n v="1"/>
    <n v="32.9"/>
    <n v="20"/>
    <n v="26.32"/>
    <n v="8.7899999999999991"/>
    <n v="20"/>
    <x v="1"/>
    <s v="UPI"/>
  </r>
  <r>
    <n v="100506"/>
    <x v="44"/>
    <s v="AD-9987-C"/>
    <x v="16"/>
    <x v="1"/>
    <x v="4"/>
    <x v="0"/>
    <n v="6"/>
    <n v="40.630000000000003"/>
    <n v="5"/>
    <n v="231.59"/>
    <n v="81.33"/>
    <n v="23"/>
    <x v="0"/>
    <s v="PayPal"/>
  </r>
  <r>
    <n v="100830"/>
    <x v="173"/>
    <s v="AD-3483-D"/>
    <x v="7"/>
    <x v="1"/>
    <x v="1"/>
    <x v="1"/>
    <n v="2"/>
    <n v="158.38999999999999"/>
    <n v="10"/>
    <n v="285.10000000000002"/>
    <n v="99.32"/>
    <n v="37"/>
    <x v="1"/>
    <s v="UPI"/>
  </r>
  <r>
    <n v="100693"/>
    <x v="174"/>
    <s v="AD-1022-A"/>
    <x v="14"/>
    <x v="1"/>
    <x v="1"/>
    <x v="1"/>
    <n v="2"/>
    <n v="238.44"/>
    <n v="0"/>
    <n v="476.88"/>
    <n v="148.19"/>
    <n v="25"/>
    <x v="1"/>
    <s v="Google Pay"/>
  </r>
  <r>
    <n v="100010"/>
    <x v="175"/>
    <s v="AD-7916-A"/>
    <x v="14"/>
    <x v="1"/>
    <x v="4"/>
    <x v="0"/>
    <n v="1"/>
    <n v="225.7"/>
    <n v="0"/>
    <n v="225.7"/>
    <n v="63.36"/>
    <n v="34"/>
    <x v="1"/>
    <s v="PayPal"/>
  </r>
  <r>
    <n v="100847"/>
    <x v="9"/>
    <s v="AD-5968-C"/>
    <x v="11"/>
    <x v="0"/>
    <x v="4"/>
    <x v="0"/>
    <n v="2"/>
    <n v="29.15"/>
    <n v="0"/>
    <n v="58.3"/>
    <n v="12.32"/>
    <n v="34"/>
    <x v="1"/>
    <s v="Cash"/>
  </r>
  <r>
    <n v="100462"/>
    <x v="168"/>
    <s v="AD-6889-B"/>
    <x v="6"/>
    <x v="1"/>
    <x v="0"/>
    <x v="1"/>
    <n v="1"/>
    <n v="182.22"/>
    <n v="5"/>
    <n v="173.11"/>
    <n v="66.75"/>
    <n v="35"/>
    <x v="0"/>
    <s v="NetBanking"/>
  </r>
  <r>
    <n v="100198"/>
    <x v="23"/>
    <s v="AD-5067-B"/>
    <x v="1"/>
    <x v="0"/>
    <x v="4"/>
    <x v="0"/>
    <n v="3"/>
    <n v="26.3"/>
    <n v="5"/>
    <n v="74.95"/>
    <n v="13.9"/>
    <n v="41"/>
    <x v="0"/>
    <s v="Apple Pay"/>
  </r>
  <r>
    <n v="100059"/>
    <x v="176"/>
    <s v="AD-3223-D"/>
    <x v="8"/>
    <x v="2"/>
    <x v="1"/>
    <x v="1"/>
    <n v="4"/>
    <n v="16.12"/>
    <n v="10"/>
    <n v="58.03"/>
    <n v="18.05"/>
    <n v="25"/>
    <x v="1"/>
    <s v="Apple Pay"/>
  </r>
  <r>
    <n v="100906"/>
    <x v="177"/>
    <s v="AD-1674-D"/>
    <x v="8"/>
    <x v="2"/>
    <x v="0"/>
    <x v="0"/>
    <n v="3"/>
    <n v="16.399999999999999"/>
    <n v="10"/>
    <n v="44.28"/>
    <n v="16.260000000000002"/>
    <n v="32"/>
    <x v="1"/>
    <s v="UPI"/>
  </r>
  <r>
    <n v="100996"/>
    <x v="178"/>
    <s v="AD-1377-D"/>
    <x v="3"/>
    <x v="2"/>
    <x v="4"/>
    <x v="0"/>
    <n v="5"/>
    <n v="18.25"/>
    <n v="5"/>
    <n v="86.69"/>
    <n v="22.75"/>
    <n v="33"/>
    <x v="1"/>
    <s v="UPI"/>
  </r>
  <r>
    <n v="100275"/>
    <x v="179"/>
    <s v="AD-6339-D"/>
    <x v="13"/>
    <x v="0"/>
    <x v="0"/>
    <x v="1"/>
    <n v="4"/>
    <n v="126.95"/>
    <n v="5"/>
    <n v="482.41"/>
    <n v="187.5"/>
    <n v="34"/>
    <x v="0"/>
    <s v="UPI"/>
  </r>
  <r>
    <n v="100808"/>
    <x v="35"/>
    <s v="AD-6143-D"/>
    <x v="3"/>
    <x v="2"/>
    <x v="4"/>
    <x v="0"/>
    <n v="5"/>
    <n v="20.21"/>
    <n v="20"/>
    <n v="80.84"/>
    <n v="26.86"/>
    <n v="31"/>
    <x v="1"/>
    <s v="NetBanking"/>
  </r>
  <r>
    <n v="100907"/>
    <x v="180"/>
    <s v="AD-6194-C"/>
    <x v="19"/>
    <x v="1"/>
    <x v="1"/>
    <x v="0"/>
    <n v="2"/>
    <n v="134.09"/>
    <n v="5"/>
    <n v="254.77"/>
    <n v="106.21"/>
    <n v="28"/>
    <x v="1"/>
    <s v="Google Pay"/>
  </r>
  <r>
    <n v="100657"/>
    <x v="22"/>
    <s v="AD-6450-A"/>
    <x v="13"/>
    <x v="0"/>
    <x v="0"/>
    <x v="0"/>
    <n v="3"/>
    <n v="124.07"/>
    <n v="40"/>
    <n v="223.33"/>
    <n v="64.64"/>
    <n v="30"/>
    <x v="1"/>
    <s v="Apple Pay"/>
  </r>
  <r>
    <n v="100956"/>
    <x v="53"/>
    <s v="AD-9349-D"/>
    <x v="17"/>
    <x v="2"/>
    <x v="0"/>
    <x v="3"/>
    <n v="6"/>
    <n v="43.29"/>
    <n v="20"/>
    <n v="207.79"/>
    <n v="75.87"/>
    <n v="21"/>
    <x v="0"/>
    <s v="Cash"/>
  </r>
  <r>
    <n v="100885"/>
    <x v="181"/>
    <s v="AD-8428-D"/>
    <x v="12"/>
    <x v="0"/>
    <x v="0"/>
    <x v="0"/>
    <n v="3"/>
    <n v="129.22999999999999"/>
    <n v="5"/>
    <n v="368.31"/>
    <n v="85.65"/>
    <n v="30"/>
    <x v="0"/>
    <s v="Credit Card"/>
  </r>
  <r>
    <n v="100220"/>
    <x v="182"/>
    <s v="AD-9116-B"/>
    <x v="7"/>
    <x v="1"/>
    <x v="2"/>
    <x v="3"/>
    <n v="2"/>
    <n v="154.19"/>
    <n v="5"/>
    <n v="292.95999999999998"/>
    <n v="87.6"/>
    <n v="41"/>
    <x v="1"/>
    <s v="Apple Pay"/>
  </r>
  <r>
    <n v="100788"/>
    <x v="183"/>
    <s v="AD-3938-C"/>
    <x v="19"/>
    <x v="1"/>
    <x v="3"/>
    <x v="1"/>
    <n v="4"/>
    <n v="123.96"/>
    <n v="5"/>
    <n v="471.05"/>
    <n v="135.24"/>
    <n v="36"/>
    <x v="1"/>
    <s v="Credit Card"/>
  </r>
  <r>
    <n v="100711"/>
    <x v="2"/>
    <s v="AD-5553-B"/>
    <x v="5"/>
    <x v="0"/>
    <x v="4"/>
    <x v="0"/>
    <n v="3"/>
    <n v="72.88"/>
    <n v="5"/>
    <n v="207.71"/>
    <n v="68.010000000000005"/>
    <n v="40"/>
    <x v="0"/>
    <s v="UPI"/>
  </r>
  <r>
    <n v="100713"/>
    <x v="184"/>
    <s v="AD-8006-C"/>
    <x v="19"/>
    <x v="1"/>
    <x v="3"/>
    <x v="2"/>
    <n v="1"/>
    <n v="111.35"/>
    <n v="0"/>
    <n v="111.35"/>
    <n v="32.659999999999997"/>
    <n v="33"/>
    <x v="1"/>
    <s v="PayPal"/>
  </r>
  <r>
    <n v="101112"/>
    <x v="185"/>
    <s v="AD-1124-C"/>
    <x v="18"/>
    <x v="1"/>
    <x v="0"/>
    <x v="1"/>
    <n v="2"/>
    <n v="93.03"/>
    <n v="5"/>
    <n v="176.76"/>
    <n v="56.59"/>
    <n v="30"/>
    <x v="0"/>
    <s v="Apple Pay"/>
  </r>
  <r>
    <n v="101190"/>
    <x v="137"/>
    <s v="AD-8528-B"/>
    <x v="10"/>
    <x v="2"/>
    <x v="4"/>
    <x v="1"/>
    <n v="1"/>
    <n v="46.08"/>
    <n v="5"/>
    <n v="43.78"/>
    <n v="12.68"/>
    <n v="28"/>
    <x v="1"/>
    <s v="Cash"/>
  </r>
  <r>
    <n v="100789"/>
    <x v="186"/>
    <s v="AD-3323-C"/>
    <x v="10"/>
    <x v="2"/>
    <x v="1"/>
    <x v="1"/>
    <n v="1"/>
    <n v="45.53"/>
    <n v="5"/>
    <n v="43.25"/>
    <n v="14.41"/>
    <n v="34"/>
    <x v="1"/>
    <s v="Apple Pay"/>
  </r>
  <r>
    <n v="100415"/>
    <x v="28"/>
    <s v="AD-5395-A"/>
    <x v="15"/>
    <x v="1"/>
    <x v="4"/>
    <x v="1"/>
    <n v="3"/>
    <n v="156.87"/>
    <n v="10"/>
    <n v="423.55"/>
    <n v="165.28"/>
    <n v="28"/>
    <x v="1"/>
    <s v="Google Pay"/>
  </r>
  <r>
    <n v="100898"/>
    <x v="187"/>
    <s v="AD-6544-B"/>
    <x v="18"/>
    <x v="1"/>
    <x v="0"/>
    <x v="0"/>
    <n v="3"/>
    <n v="79.150000000000006"/>
    <n v="10"/>
    <n v="213.71"/>
    <n v="55.45"/>
    <n v="41"/>
    <x v="0"/>
    <s v="Debit Card"/>
  </r>
  <r>
    <n v="100934"/>
    <x v="188"/>
    <s v="AD-7138-B"/>
    <x v="15"/>
    <x v="1"/>
    <x v="4"/>
    <x v="0"/>
    <n v="3"/>
    <n v="152.31"/>
    <n v="0"/>
    <n v="456.93"/>
    <n v="191.73"/>
    <n v="22"/>
    <x v="1"/>
    <s v="UPI"/>
  </r>
  <r>
    <n v="100265"/>
    <x v="189"/>
    <s v="AD-8075-B"/>
    <x v="1"/>
    <x v="0"/>
    <x v="1"/>
    <x v="0"/>
    <n v="2"/>
    <n v="27.32"/>
    <n v="0"/>
    <n v="54.64"/>
    <n v="16.23"/>
    <n v="24"/>
    <x v="0"/>
    <s v="Apple Pay"/>
  </r>
  <r>
    <n v="100631"/>
    <x v="190"/>
    <s v="AD-5910-C"/>
    <x v="8"/>
    <x v="2"/>
    <x v="0"/>
    <x v="0"/>
    <n v="2"/>
    <n v="13.84"/>
    <n v="5"/>
    <n v="26.3"/>
    <n v="12.66"/>
    <n v="39"/>
    <x v="1"/>
    <s v="Cash"/>
  </r>
  <r>
    <n v="100247"/>
    <x v="191"/>
    <s v="AD-4422-C"/>
    <x v="2"/>
    <x v="1"/>
    <x v="0"/>
    <x v="1"/>
    <n v="5"/>
    <n v="92.32"/>
    <n v="20"/>
    <n v="369.28"/>
    <n v="110.32"/>
    <n v="36"/>
    <x v="0"/>
    <s v="Google Pay"/>
  </r>
  <r>
    <n v="100682"/>
    <x v="192"/>
    <s v="AD-4769-A"/>
    <x v="3"/>
    <x v="2"/>
    <x v="1"/>
    <x v="0"/>
    <n v="3"/>
    <n v="17.48"/>
    <n v="0"/>
    <n v="52.44"/>
    <n v="14.63"/>
    <n v="28"/>
    <x v="0"/>
    <s v="Cash"/>
  </r>
  <r>
    <n v="100558"/>
    <x v="193"/>
    <s v="AD-7824-A"/>
    <x v="17"/>
    <x v="2"/>
    <x v="0"/>
    <x v="3"/>
    <n v="1"/>
    <n v="44.85"/>
    <n v="5"/>
    <n v="42.61"/>
    <n v="15.86"/>
    <n v="33"/>
    <x v="1"/>
    <s v="Apple Pay"/>
  </r>
  <r>
    <n v="101136"/>
    <x v="194"/>
    <s v="AD-1766-C"/>
    <x v="4"/>
    <x v="2"/>
    <x v="1"/>
    <x v="0"/>
    <n v="2"/>
    <n v="54.6"/>
    <n v="5"/>
    <n v="103.74"/>
    <n v="26.29"/>
    <n v="27"/>
    <x v="0"/>
    <s v="Google Pay"/>
  </r>
  <r>
    <n v="100967"/>
    <x v="195"/>
    <s v="AD-2586-B"/>
    <x v="18"/>
    <x v="1"/>
    <x v="4"/>
    <x v="3"/>
    <n v="3"/>
    <n v="80.41"/>
    <n v="10"/>
    <n v="217.11"/>
    <n v="73.760000000000005"/>
    <n v="37"/>
    <x v="0"/>
    <s v="Credit Card"/>
  </r>
  <r>
    <n v="101004"/>
    <x v="196"/>
    <s v="AD-3198-B"/>
    <x v="18"/>
    <x v="1"/>
    <x v="4"/>
    <x v="0"/>
    <n v="4"/>
    <n v="83.71"/>
    <n v="0"/>
    <n v="334.84"/>
    <n v="75.38"/>
    <n v="20"/>
    <x v="1"/>
    <s v="UPI"/>
  </r>
  <r>
    <n v="100984"/>
    <x v="197"/>
    <s v="AD-9189-D"/>
    <x v="8"/>
    <x v="2"/>
    <x v="1"/>
    <x v="2"/>
    <n v="3"/>
    <n v="14.02"/>
    <n v="0"/>
    <n v="42.06"/>
    <n v="12.7"/>
    <n v="40"/>
    <x v="1"/>
    <s v="UPI"/>
  </r>
  <r>
    <n v="100294"/>
    <x v="198"/>
    <s v="AD-8272-D"/>
    <x v="12"/>
    <x v="0"/>
    <x v="1"/>
    <x v="1"/>
    <n v="3"/>
    <n v="130.16999999999999"/>
    <n v="0"/>
    <n v="390.51"/>
    <n v="89.97"/>
    <n v="27"/>
    <x v="0"/>
    <s v="Apple Pay"/>
  </r>
  <r>
    <n v="100519"/>
    <x v="199"/>
    <s v="AD-2702-C"/>
    <x v="9"/>
    <x v="2"/>
    <x v="4"/>
    <x v="0"/>
    <n v="2"/>
    <n v="20.76"/>
    <n v="0"/>
    <n v="41.52"/>
    <n v="8.75"/>
    <n v="26"/>
    <x v="0"/>
    <s v="Debit Card"/>
  </r>
  <r>
    <n v="100770"/>
    <x v="200"/>
    <s v="AD-4926-C"/>
    <x v="11"/>
    <x v="0"/>
    <x v="4"/>
    <x v="3"/>
    <n v="2"/>
    <n v="29.65"/>
    <n v="0"/>
    <n v="59.3"/>
    <n v="15.46"/>
    <n v="20"/>
    <x v="0"/>
    <s v="Credit Card"/>
  </r>
  <r>
    <n v="100083"/>
    <x v="201"/>
    <s v="AD-1977-B"/>
    <x v="18"/>
    <x v="1"/>
    <x v="0"/>
    <x v="2"/>
    <n v="3"/>
    <n v="87.25"/>
    <n v="0"/>
    <n v="261.75"/>
    <n v="56.23"/>
    <n v="29"/>
    <x v="0"/>
    <s v="Debit Card"/>
  </r>
  <r>
    <n v="100231"/>
    <x v="202"/>
    <s v="AD-2489-D"/>
    <x v="13"/>
    <x v="0"/>
    <x v="1"/>
    <x v="1"/>
    <n v="2"/>
    <n v="140.59"/>
    <n v="0"/>
    <n v="281.18"/>
    <n v="89.42"/>
    <n v="33"/>
    <x v="0"/>
    <s v="Google Pay"/>
  </r>
  <r>
    <n v="100620"/>
    <x v="203"/>
    <s v="AD-3932-D"/>
    <x v="9"/>
    <x v="2"/>
    <x v="4"/>
    <x v="0"/>
    <n v="1"/>
    <n v="23.97"/>
    <n v="0"/>
    <n v="23.97"/>
    <n v="11.8"/>
    <n v="39"/>
    <x v="1"/>
    <s v="Apple Pay"/>
  </r>
  <r>
    <n v="100333"/>
    <x v="204"/>
    <s v="AD-7878-D"/>
    <x v="12"/>
    <x v="0"/>
    <x v="0"/>
    <x v="0"/>
    <n v="5"/>
    <n v="136.06"/>
    <n v="0"/>
    <n v="680.3"/>
    <n v="257.42"/>
    <n v="35"/>
    <x v="1"/>
    <s v="UPI"/>
  </r>
  <r>
    <n v="100129"/>
    <x v="205"/>
    <s v="AD-7992-C"/>
    <x v="5"/>
    <x v="0"/>
    <x v="0"/>
    <x v="0"/>
    <n v="2"/>
    <n v="65.67"/>
    <n v="5"/>
    <n v="124.77"/>
    <n v="29.66"/>
    <n v="24"/>
    <x v="0"/>
    <s v="Cash"/>
  </r>
  <r>
    <n v="101011"/>
    <x v="77"/>
    <s v="AD-2623-A"/>
    <x v="9"/>
    <x v="2"/>
    <x v="1"/>
    <x v="1"/>
    <n v="2"/>
    <n v="20.57"/>
    <n v="10"/>
    <n v="37.03"/>
    <n v="13.01"/>
    <n v="19"/>
    <x v="1"/>
    <s v="NetBanking"/>
  </r>
  <r>
    <n v="100644"/>
    <x v="206"/>
    <s v="AD-5699-D"/>
    <x v="7"/>
    <x v="1"/>
    <x v="0"/>
    <x v="0"/>
    <n v="3"/>
    <n v="161.80000000000001"/>
    <n v="0"/>
    <n v="485.4"/>
    <n v="184.18"/>
    <n v="20"/>
    <x v="0"/>
    <s v="Credit Card"/>
  </r>
  <r>
    <n v="100973"/>
    <x v="191"/>
    <s v="AD-7556-A"/>
    <x v="15"/>
    <x v="1"/>
    <x v="0"/>
    <x v="1"/>
    <n v="3"/>
    <n v="142.9"/>
    <n v="0"/>
    <n v="428.7"/>
    <n v="137.94999999999999"/>
    <n v="34"/>
    <x v="1"/>
    <s v="Google Pay"/>
  </r>
  <r>
    <n v="100382"/>
    <x v="207"/>
    <s v="AD-9589-A"/>
    <x v="15"/>
    <x v="1"/>
    <x v="4"/>
    <x v="0"/>
    <n v="4"/>
    <n v="160.12"/>
    <n v="0"/>
    <n v="640.48"/>
    <n v="210.06"/>
    <n v="24"/>
    <x v="1"/>
    <s v="PayPal"/>
  </r>
  <r>
    <n v="100867"/>
    <x v="208"/>
    <s v="AD-8417-C"/>
    <x v="19"/>
    <x v="1"/>
    <x v="0"/>
    <x v="2"/>
    <n v="3"/>
    <n v="138.03"/>
    <n v="0"/>
    <n v="414.09"/>
    <n v="137.47999999999999"/>
    <n v="19"/>
    <x v="0"/>
    <s v="NetBanking"/>
  </r>
  <r>
    <n v="100542"/>
    <x v="160"/>
    <s v="AD-4039-A"/>
    <x v="0"/>
    <x v="0"/>
    <x v="1"/>
    <x v="1"/>
    <n v="3"/>
    <n v="52.49"/>
    <n v="0"/>
    <n v="157.47"/>
    <n v="47.2"/>
    <n v="39"/>
    <x v="0"/>
    <s v="Apple Pay"/>
  </r>
  <r>
    <n v="101193"/>
    <x v="209"/>
    <s v="AD-4793-B"/>
    <x v="7"/>
    <x v="1"/>
    <x v="0"/>
    <x v="1"/>
    <n v="3"/>
    <n v="156.99"/>
    <n v="20"/>
    <n v="376.78"/>
    <n v="142.68"/>
    <n v="25"/>
    <x v="0"/>
    <s v="Cash"/>
  </r>
  <r>
    <n v="100874"/>
    <x v="210"/>
    <s v="AD-9197-D"/>
    <x v="19"/>
    <x v="1"/>
    <x v="4"/>
    <x v="2"/>
    <n v="4"/>
    <n v="134.99"/>
    <n v="20"/>
    <n v="431.97"/>
    <n v="106.8"/>
    <n v="36"/>
    <x v="1"/>
    <s v="NetBanking"/>
  </r>
  <r>
    <n v="100331"/>
    <x v="211"/>
    <s v="AD-3466-A"/>
    <x v="17"/>
    <x v="2"/>
    <x v="3"/>
    <x v="1"/>
    <n v="1"/>
    <n v="43.72"/>
    <n v="0"/>
    <n v="43.72"/>
    <n v="17.41"/>
    <n v="34"/>
    <x v="0"/>
    <s v="UPI"/>
  </r>
  <r>
    <n v="100409"/>
    <x v="212"/>
    <s v="AD-9381-A"/>
    <x v="18"/>
    <x v="1"/>
    <x v="4"/>
    <x v="1"/>
    <n v="4"/>
    <n v="88.17"/>
    <n v="0"/>
    <n v="352.68"/>
    <n v="91.08"/>
    <n v="46"/>
    <x v="1"/>
    <s v="Debit Card"/>
  </r>
  <r>
    <n v="100076"/>
    <x v="37"/>
    <s v="AD-2680-A"/>
    <x v="15"/>
    <x v="1"/>
    <x v="0"/>
    <x v="0"/>
    <n v="5"/>
    <n v="153.55000000000001"/>
    <n v="0"/>
    <n v="767.75"/>
    <n v="188.2"/>
    <n v="17"/>
    <x v="0"/>
    <s v="Google Pay"/>
  </r>
  <r>
    <n v="100868"/>
    <x v="213"/>
    <s v="AD-1033-D"/>
    <x v="13"/>
    <x v="0"/>
    <x v="1"/>
    <x v="1"/>
    <n v="4"/>
    <n v="117.05"/>
    <n v="5"/>
    <n v="444.79"/>
    <n v="156.59"/>
    <n v="18"/>
    <x v="1"/>
    <s v="PayPal"/>
  </r>
  <r>
    <n v="100138"/>
    <x v="214"/>
    <s v="AD-6655-D"/>
    <x v="3"/>
    <x v="2"/>
    <x v="1"/>
    <x v="0"/>
    <n v="4"/>
    <n v="15.65"/>
    <n v="0"/>
    <n v="62.6"/>
    <n v="23.08"/>
    <n v="42"/>
    <x v="1"/>
    <s v="Debit Card"/>
  </r>
  <r>
    <n v="100543"/>
    <x v="34"/>
    <s v="AD-4110-D"/>
    <x v="11"/>
    <x v="0"/>
    <x v="4"/>
    <x v="1"/>
    <n v="3"/>
    <n v="28.83"/>
    <n v="0"/>
    <n v="86.49"/>
    <n v="20.420000000000002"/>
    <n v="36"/>
    <x v="0"/>
    <s v="Apple Pay"/>
  </r>
  <r>
    <n v="100673"/>
    <x v="215"/>
    <s v="AD-3753-C"/>
    <x v="15"/>
    <x v="1"/>
    <x v="1"/>
    <x v="0"/>
    <n v="2"/>
    <n v="147.27000000000001"/>
    <n v="0"/>
    <n v="294.54000000000002"/>
    <n v="118.55"/>
    <n v="30"/>
    <x v="1"/>
    <s v="Apple Pay"/>
  </r>
  <r>
    <n v="100920"/>
    <x v="216"/>
    <s v="AD-8835-A"/>
    <x v="13"/>
    <x v="0"/>
    <x v="1"/>
    <x v="0"/>
    <n v="2"/>
    <n v="112.21"/>
    <n v="0"/>
    <n v="224.42"/>
    <n v="59.14"/>
    <n v="40"/>
    <x v="1"/>
    <s v="Apple Pay"/>
  </r>
  <r>
    <n v="100063"/>
    <x v="217"/>
    <s v="AD-3683-C"/>
    <x v="16"/>
    <x v="1"/>
    <x v="4"/>
    <x v="0"/>
    <n v="2"/>
    <n v="33.42"/>
    <n v="5"/>
    <n v="63.5"/>
    <n v="19.829999999999998"/>
    <n v="25"/>
    <x v="0"/>
    <s v="Debit Card"/>
  </r>
  <r>
    <n v="100141"/>
    <x v="218"/>
    <s v="AD-2180-D"/>
    <x v="4"/>
    <x v="2"/>
    <x v="1"/>
    <x v="1"/>
    <n v="1"/>
    <n v="56.52"/>
    <n v="20"/>
    <n v="45.22"/>
    <n v="10.38"/>
    <n v="34"/>
    <x v="1"/>
    <s v="Cash"/>
  </r>
  <r>
    <n v="100716"/>
    <x v="219"/>
    <s v="AD-2083-D"/>
    <x v="17"/>
    <x v="2"/>
    <x v="4"/>
    <x v="0"/>
    <n v="3"/>
    <n v="39.35"/>
    <n v="0"/>
    <n v="118.05"/>
    <n v="34.590000000000003"/>
    <n v="32"/>
    <x v="2"/>
    <s v="Cash"/>
  </r>
  <r>
    <n v="100376"/>
    <x v="220"/>
    <s v="AD-2654-C"/>
    <x v="14"/>
    <x v="1"/>
    <x v="0"/>
    <x v="3"/>
    <n v="1"/>
    <n v="186.67"/>
    <n v="0"/>
    <n v="186.67"/>
    <n v="57.99"/>
    <n v="41"/>
    <x v="1"/>
    <s v="Debit Card"/>
  </r>
  <r>
    <n v="100363"/>
    <x v="221"/>
    <s v="AD-9962-A"/>
    <x v="1"/>
    <x v="0"/>
    <x v="4"/>
    <x v="0"/>
    <n v="4"/>
    <n v="25.48"/>
    <n v="0"/>
    <n v="101.92"/>
    <n v="35.270000000000003"/>
    <n v="45"/>
    <x v="1"/>
    <s v="Debit Card"/>
  </r>
  <r>
    <n v="100139"/>
    <x v="222"/>
    <s v="AD-7475-A"/>
    <x v="0"/>
    <x v="0"/>
    <x v="0"/>
    <x v="1"/>
    <n v="2"/>
    <n v="61.91"/>
    <n v="0"/>
    <n v="123.82"/>
    <n v="33.5"/>
    <n v="36"/>
    <x v="1"/>
    <s v="UPI"/>
  </r>
  <r>
    <n v="100884"/>
    <x v="223"/>
    <s v="AD-1855-C"/>
    <x v="3"/>
    <x v="2"/>
    <x v="0"/>
    <x v="0"/>
    <n v="4"/>
    <n v="16.86"/>
    <n v="10"/>
    <n v="60.7"/>
    <n v="20.02"/>
    <n v="33"/>
    <x v="1"/>
    <s v="Credit Card"/>
  </r>
  <r>
    <n v="101041"/>
    <x v="224"/>
    <s v="AD-4309-B"/>
    <x v="3"/>
    <x v="2"/>
    <x v="4"/>
    <x v="1"/>
    <n v="5"/>
    <n v="17.62"/>
    <n v="0"/>
    <n v="88.1"/>
    <n v="35.78"/>
    <n v="35"/>
    <x v="1"/>
    <s v="Google Pay"/>
  </r>
  <r>
    <n v="100224"/>
    <x v="225"/>
    <s v="AD-7567-A"/>
    <x v="19"/>
    <x v="1"/>
    <x v="2"/>
    <x v="2"/>
    <n v="3"/>
    <n v="119.72"/>
    <n v="0"/>
    <n v="359.16"/>
    <n v="87.93"/>
    <n v="42"/>
    <x v="1"/>
    <s v="Debit Card"/>
  </r>
  <r>
    <n v="100514"/>
    <x v="226"/>
    <s v="AD-8598-B"/>
    <x v="10"/>
    <x v="2"/>
    <x v="0"/>
    <x v="2"/>
    <n v="4"/>
    <n v="39.04"/>
    <n v="5"/>
    <n v="148.35"/>
    <n v="54.55"/>
    <n v="23"/>
    <x v="1"/>
    <s v="NetBanking"/>
  </r>
  <r>
    <n v="100266"/>
    <x v="227"/>
    <s v="AD-2344-C"/>
    <x v="17"/>
    <x v="2"/>
    <x v="4"/>
    <x v="1"/>
    <n v="1"/>
    <n v="37.5"/>
    <n v="0"/>
    <n v="37.5"/>
    <n v="14.68"/>
    <n v="37"/>
    <x v="0"/>
    <s v="Debit Card"/>
  </r>
  <r>
    <n v="101169"/>
    <x v="228"/>
    <s v="AD-3664-C"/>
    <x v="6"/>
    <x v="1"/>
    <x v="0"/>
    <x v="1"/>
    <n v="4"/>
    <n v="198.5"/>
    <n v="5"/>
    <n v="754.3"/>
    <n v="256.14999999999998"/>
    <n v="21"/>
    <x v="1"/>
    <s v="NetBanking"/>
  </r>
  <r>
    <n v="100486"/>
    <x v="229"/>
    <s v="AD-5157-C"/>
    <x v="16"/>
    <x v="1"/>
    <x v="0"/>
    <x v="1"/>
    <n v="1"/>
    <n v="36.39"/>
    <n v="5"/>
    <n v="34.57"/>
    <n v="10.45"/>
    <n v="25"/>
    <x v="1"/>
    <s v="Google Pay"/>
  </r>
  <r>
    <n v="100352"/>
    <x v="230"/>
    <s v="AD-9035-A"/>
    <x v="16"/>
    <x v="1"/>
    <x v="0"/>
    <x v="3"/>
    <n v="3"/>
    <n v="31.9"/>
    <n v="0"/>
    <n v="95.7"/>
    <n v="27.68"/>
    <n v="30"/>
    <x v="1"/>
    <s v="PayPal"/>
  </r>
  <r>
    <n v="101005"/>
    <x v="231"/>
    <s v="AD-7255-B"/>
    <x v="11"/>
    <x v="0"/>
    <x v="0"/>
    <x v="0"/>
    <n v="2"/>
    <n v="27.3"/>
    <n v="40"/>
    <n v="32.76"/>
    <n v="7.02"/>
    <n v="29"/>
    <x v="1"/>
    <s v="NetBanking"/>
  </r>
  <r>
    <n v="100617"/>
    <x v="232"/>
    <s v="AD-3446-B"/>
    <x v="16"/>
    <x v="1"/>
    <x v="1"/>
    <x v="1"/>
    <n v="4"/>
    <n v="30.43"/>
    <n v="5"/>
    <n v="115.63"/>
    <n v="29.39"/>
    <n v="32"/>
    <x v="0"/>
    <s v="NetBanking"/>
  </r>
  <r>
    <n v="100667"/>
    <x v="233"/>
    <s v="AD-1606-C"/>
    <x v="8"/>
    <x v="2"/>
    <x v="1"/>
    <x v="3"/>
    <n v="6"/>
    <n v="15.22"/>
    <n v="0"/>
    <n v="91.32"/>
    <n v="26.48"/>
    <n v="23"/>
    <x v="0"/>
    <s v="Credit Card"/>
  </r>
  <r>
    <n v="100774"/>
    <x v="169"/>
    <s v="AD-7920-A"/>
    <x v="2"/>
    <x v="1"/>
    <x v="3"/>
    <x v="1"/>
    <n v="6"/>
    <n v="95.51"/>
    <n v="0"/>
    <n v="573.05999999999995"/>
    <n v="94.18"/>
    <n v="16"/>
    <x v="1"/>
    <s v="Cash"/>
  </r>
  <r>
    <n v="100553"/>
    <x v="234"/>
    <s v="AD-1003-A"/>
    <x v="8"/>
    <x v="2"/>
    <x v="4"/>
    <x v="3"/>
    <n v="3"/>
    <n v="14.41"/>
    <n v="0"/>
    <n v="43.23"/>
    <n v="15.33"/>
    <n v="25"/>
    <x v="1"/>
    <s v="Apple Pay"/>
  </r>
  <r>
    <n v="100575"/>
    <x v="235"/>
    <s v="AD-4695-B"/>
    <x v="12"/>
    <x v="0"/>
    <x v="0"/>
    <x v="0"/>
    <n v="4"/>
    <n v="141.57"/>
    <n v="0"/>
    <n v="566.28"/>
    <n v="156.63999999999999"/>
    <n v="39"/>
    <x v="0"/>
    <s v="NetBanking"/>
  </r>
  <r>
    <n v="100914"/>
    <x v="236"/>
    <s v="AD-9188-C"/>
    <x v="8"/>
    <x v="2"/>
    <x v="4"/>
    <x v="2"/>
    <n v="3"/>
    <n v="16.45"/>
    <n v="10"/>
    <n v="44.41"/>
    <n v="16.55"/>
    <n v="35"/>
    <x v="1"/>
    <s v="Credit Card"/>
  </r>
  <r>
    <n v="100465"/>
    <x v="237"/>
    <s v="AD-1600-C"/>
    <x v="10"/>
    <x v="2"/>
    <x v="0"/>
    <x v="1"/>
    <n v="4"/>
    <n v="51.19"/>
    <n v="0"/>
    <n v="204.76"/>
    <n v="59.69"/>
    <n v="36"/>
    <x v="0"/>
    <s v="UPI"/>
  </r>
  <r>
    <n v="100590"/>
    <x v="120"/>
    <s v="AD-3686-A"/>
    <x v="17"/>
    <x v="2"/>
    <x v="2"/>
    <x v="2"/>
    <n v="3"/>
    <n v="39.96"/>
    <n v="0"/>
    <n v="119.88"/>
    <n v="34.04"/>
    <n v="20"/>
    <x v="1"/>
    <s v="Cash"/>
  </r>
  <r>
    <n v="100764"/>
    <x v="238"/>
    <s v="AD-2041-D"/>
    <x v="9"/>
    <x v="2"/>
    <x v="4"/>
    <x v="2"/>
    <n v="3"/>
    <n v="23.51"/>
    <n v="0"/>
    <n v="70.53"/>
    <n v="23.67"/>
    <n v="31"/>
    <x v="1"/>
    <s v="NetBanking"/>
  </r>
  <r>
    <n v="100634"/>
    <x v="239"/>
    <s v="AD-7652-D"/>
    <x v="6"/>
    <x v="1"/>
    <x v="0"/>
    <x v="0"/>
    <n v="1"/>
    <n v="208.4"/>
    <n v="20"/>
    <n v="166.72"/>
    <n v="38.46"/>
    <n v="39"/>
    <x v="1"/>
    <s v="Apple Pay"/>
  </r>
  <r>
    <n v="100837"/>
    <x v="240"/>
    <s v="AD-4501-A"/>
    <x v="13"/>
    <x v="0"/>
    <x v="0"/>
    <x v="2"/>
    <n v="3"/>
    <n v="124.01"/>
    <n v="5"/>
    <n v="353.43"/>
    <n v="138.56"/>
    <n v="39"/>
    <x v="1"/>
    <s v="NetBanking"/>
  </r>
  <r>
    <n v="100289"/>
    <x v="241"/>
    <s v="AD-6700-C"/>
    <x v="9"/>
    <x v="2"/>
    <x v="0"/>
    <x v="1"/>
    <n v="3"/>
    <n v="21.46"/>
    <n v="0"/>
    <n v="64.38"/>
    <n v="19.04"/>
    <n v="21"/>
    <x v="0"/>
    <s v="Debit Card"/>
  </r>
  <r>
    <n v="100039"/>
    <x v="242"/>
    <s v="AD-4269-D"/>
    <x v="7"/>
    <x v="1"/>
    <x v="4"/>
    <x v="2"/>
    <n v="3"/>
    <n v="168.34"/>
    <n v="0"/>
    <n v="505.02"/>
    <n v="155.66999999999999"/>
    <n v="23"/>
    <x v="0"/>
    <s v="UPI"/>
  </r>
  <r>
    <n v="100030"/>
    <x v="125"/>
    <s v="AD-1152-D"/>
    <x v="14"/>
    <x v="1"/>
    <x v="4"/>
    <x v="0"/>
    <n v="3"/>
    <n v="252.84"/>
    <n v="0"/>
    <n v="758.52"/>
    <n v="245.53"/>
    <n v="23"/>
    <x v="0"/>
    <s v="Debit Card"/>
  </r>
  <r>
    <n v="100242"/>
    <x v="178"/>
    <s v="AD-9120-A"/>
    <x v="15"/>
    <x v="1"/>
    <x v="0"/>
    <x v="1"/>
    <n v="3"/>
    <n v="164.56"/>
    <n v="0"/>
    <n v="493.68"/>
    <n v="151.6"/>
    <n v="25"/>
    <x v="1"/>
    <s v="Apple Pay"/>
  </r>
  <r>
    <n v="100428"/>
    <x v="243"/>
    <s v="AD-2752-C"/>
    <x v="18"/>
    <x v="1"/>
    <x v="4"/>
    <x v="0"/>
    <n v="3"/>
    <n v="80.41"/>
    <n v="10"/>
    <n v="217.11"/>
    <n v="65.5"/>
    <n v="21"/>
    <x v="0"/>
    <s v="Apple Pay"/>
  </r>
  <r>
    <n v="100136"/>
    <x v="244"/>
    <s v="AD-7062-C"/>
    <x v="6"/>
    <x v="1"/>
    <x v="1"/>
    <x v="0"/>
    <n v="2"/>
    <n v="181.64"/>
    <n v="10"/>
    <n v="326.95"/>
    <n v="100.54"/>
    <n v="32"/>
    <x v="1"/>
    <s v="PayPal"/>
  </r>
  <r>
    <n v="101100"/>
    <x v="245"/>
    <s v="AD-7876-B"/>
    <x v="7"/>
    <x v="1"/>
    <x v="4"/>
    <x v="0"/>
    <n v="1"/>
    <n v="150.4"/>
    <n v="10"/>
    <n v="135.36000000000001"/>
    <n v="34.33"/>
    <n v="24"/>
    <x v="1"/>
    <s v="Google Pay"/>
  </r>
  <r>
    <n v="100864"/>
    <x v="246"/>
    <s v="AD-8900-C"/>
    <x v="3"/>
    <x v="2"/>
    <x v="0"/>
    <x v="1"/>
    <n v="3"/>
    <n v="18.989999999999998"/>
    <n v="0"/>
    <n v="56.97"/>
    <n v="15.45"/>
    <n v="27"/>
    <x v="1"/>
    <s v="Credit Card"/>
  </r>
  <r>
    <n v="100003"/>
    <x v="247"/>
    <s v="AD-1711-D"/>
    <x v="13"/>
    <x v="0"/>
    <x v="1"/>
    <x v="0"/>
    <n v="2"/>
    <n v="123.02"/>
    <n v="10"/>
    <n v="221.44"/>
    <n v="81.48"/>
    <n v="28"/>
    <x v="1"/>
    <s v="NetBanking"/>
  </r>
  <r>
    <n v="100832"/>
    <x v="248"/>
    <s v="AD-3692-D"/>
    <x v="6"/>
    <x v="1"/>
    <x v="1"/>
    <x v="0"/>
    <n v="3"/>
    <n v="176.94"/>
    <n v="0"/>
    <n v="530.82000000000005"/>
    <n v="190.54"/>
    <n v="33"/>
    <x v="1"/>
    <s v="Apple Pay"/>
  </r>
  <r>
    <n v="100602"/>
    <x v="249"/>
    <s v="AD-9514-D"/>
    <x v="10"/>
    <x v="2"/>
    <x v="0"/>
    <x v="3"/>
    <n v="3"/>
    <n v="38.81"/>
    <n v="0"/>
    <n v="116.43"/>
    <n v="53.32"/>
    <n v="21"/>
    <x v="0"/>
    <s v="Google Pay"/>
  </r>
  <r>
    <n v="101033"/>
    <x v="250"/>
    <s v="AD-4091-B"/>
    <x v="4"/>
    <x v="2"/>
    <x v="0"/>
    <x v="2"/>
    <n v="2"/>
    <n v="63.01"/>
    <n v="20"/>
    <n v="100.82"/>
    <n v="28.01"/>
    <n v="24"/>
    <x v="0"/>
    <s v="PayPal"/>
  </r>
  <r>
    <n v="100654"/>
    <x v="251"/>
    <s v="AD-1931-B"/>
    <x v="3"/>
    <x v="2"/>
    <x v="0"/>
    <x v="0"/>
    <n v="5"/>
    <n v="18.71"/>
    <n v="5"/>
    <n v="88.87"/>
    <n v="26"/>
    <n v="22"/>
    <x v="1"/>
    <s v="Debit Card"/>
  </r>
  <r>
    <n v="100843"/>
    <x v="252"/>
    <s v="AD-9622-D"/>
    <x v="2"/>
    <x v="1"/>
    <x v="2"/>
    <x v="1"/>
    <n v="2"/>
    <n v="94.66"/>
    <n v="10"/>
    <n v="170.39"/>
    <n v="58.52"/>
    <n v="16"/>
    <x v="1"/>
    <s v="Cash"/>
  </r>
  <r>
    <n v="100783"/>
    <x v="59"/>
    <s v="AD-5636-B"/>
    <x v="1"/>
    <x v="0"/>
    <x v="1"/>
    <x v="0"/>
    <n v="3"/>
    <n v="22.78"/>
    <n v="5"/>
    <n v="64.92"/>
    <n v="19.72"/>
    <n v="32"/>
    <x v="0"/>
    <s v="UPI"/>
  </r>
  <r>
    <n v="101073"/>
    <x v="253"/>
    <s v="AD-1494-B"/>
    <x v="4"/>
    <x v="2"/>
    <x v="0"/>
    <x v="1"/>
    <n v="3"/>
    <n v="54.17"/>
    <n v="5"/>
    <n v="154.38"/>
    <n v="52.04"/>
    <n v="32"/>
    <x v="1"/>
    <s v="PayPal"/>
  </r>
  <r>
    <n v="100442"/>
    <x v="132"/>
    <s v="AD-9418-A"/>
    <x v="16"/>
    <x v="1"/>
    <x v="4"/>
    <x v="1"/>
    <n v="2"/>
    <n v="35.200000000000003"/>
    <n v="5"/>
    <n v="66.88"/>
    <n v="17.920000000000002"/>
    <n v="39"/>
    <x v="1"/>
    <s v="PayPal"/>
  </r>
  <r>
    <n v="101177"/>
    <x v="254"/>
    <s v="AD-2448-B"/>
    <x v="3"/>
    <x v="2"/>
    <x v="1"/>
    <x v="0"/>
    <n v="3"/>
    <n v="17.440000000000001"/>
    <n v="5"/>
    <n v="49.7"/>
    <n v="19.57"/>
    <n v="28"/>
    <x v="0"/>
    <s v="Apple Pay"/>
  </r>
  <r>
    <n v="100435"/>
    <x v="255"/>
    <s v="AD-9255-C"/>
    <x v="19"/>
    <x v="1"/>
    <x v="0"/>
    <x v="3"/>
    <n v="6"/>
    <n v="162.34"/>
    <n v="0"/>
    <n v="974.04"/>
    <n v="303.42"/>
    <n v="33"/>
    <x v="1"/>
    <s v="PayPal"/>
  </r>
  <r>
    <n v="101168"/>
    <x v="256"/>
    <s v="AD-5725-A"/>
    <x v="10"/>
    <x v="2"/>
    <x v="2"/>
    <x v="0"/>
    <n v="2"/>
    <n v="45.69"/>
    <n v="0"/>
    <n v="91.38"/>
    <n v="36.33"/>
    <n v="26"/>
    <x v="0"/>
    <s v="Cash"/>
  </r>
  <r>
    <n v="100100"/>
    <x v="257"/>
    <s v="AD-8994-A"/>
    <x v="2"/>
    <x v="1"/>
    <x v="2"/>
    <x v="2"/>
    <n v="4"/>
    <n v="97.97"/>
    <n v="0"/>
    <n v="391.88"/>
    <n v="115.9"/>
    <n v="34"/>
    <x v="1"/>
    <s v="Cash"/>
  </r>
  <r>
    <n v="100772"/>
    <x v="258"/>
    <s v="AD-5929-A"/>
    <x v="3"/>
    <x v="2"/>
    <x v="2"/>
    <x v="0"/>
    <n v="4"/>
    <n v="18.440000000000001"/>
    <n v="5"/>
    <n v="70.069999999999993"/>
    <n v="17.75"/>
    <n v="28"/>
    <x v="0"/>
    <s v="NetBanking"/>
  </r>
  <r>
    <n v="100494"/>
    <x v="259"/>
    <s v="AD-6693-C"/>
    <x v="2"/>
    <x v="1"/>
    <x v="1"/>
    <x v="1"/>
    <n v="2"/>
    <n v="87.49"/>
    <n v="0"/>
    <n v="174.98"/>
    <n v="60.66"/>
    <n v="23"/>
    <x v="0"/>
    <s v="Cash"/>
  </r>
  <r>
    <n v="101027"/>
    <x v="260"/>
    <s v="AD-2813-B"/>
    <x v="3"/>
    <x v="2"/>
    <x v="1"/>
    <x v="0"/>
    <n v="4"/>
    <n v="18.05"/>
    <n v="20"/>
    <n v="57.76"/>
    <n v="16.18"/>
    <n v="26"/>
    <x v="1"/>
    <s v="UPI"/>
  </r>
  <r>
    <n v="100806"/>
    <x v="261"/>
    <s v="AD-9366-D"/>
    <x v="4"/>
    <x v="2"/>
    <x v="4"/>
    <x v="0"/>
    <n v="3"/>
    <n v="57.97"/>
    <n v="5"/>
    <n v="165.21"/>
    <n v="38.729999999999997"/>
    <n v="32"/>
    <x v="1"/>
    <s v="Debit Card"/>
  </r>
  <r>
    <n v="101141"/>
    <x v="20"/>
    <s v="AD-2722-C"/>
    <x v="11"/>
    <x v="0"/>
    <x v="4"/>
    <x v="0"/>
    <n v="2"/>
    <n v="30.73"/>
    <n v="0"/>
    <n v="61.46"/>
    <n v="18.68"/>
    <n v="31"/>
    <x v="0"/>
    <s v="PayPal"/>
  </r>
  <r>
    <n v="100845"/>
    <x v="262"/>
    <s v="AD-9408-A"/>
    <x v="4"/>
    <x v="2"/>
    <x v="4"/>
    <x v="0"/>
    <n v="3"/>
    <n v="61.27"/>
    <n v="0"/>
    <n v="183.81"/>
    <n v="62.6"/>
    <n v="33"/>
    <x v="0"/>
    <s v="PayPal"/>
  </r>
  <r>
    <n v="100986"/>
    <x v="263"/>
    <s v="AD-9110-C"/>
    <x v="18"/>
    <x v="1"/>
    <x v="2"/>
    <x v="1"/>
    <n v="1"/>
    <n v="80.89"/>
    <n v="40"/>
    <n v="48.53"/>
    <n v="16.34"/>
    <n v="19"/>
    <x v="0"/>
    <s v="UPI"/>
  </r>
  <r>
    <n v="100227"/>
    <x v="264"/>
    <s v="AD-2923-C"/>
    <x v="7"/>
    <x v="1"/>
    <x v="1"/>
    <x v="2"/>
    <n v="5"/>
    <n v="165.64"/>
    <n v="5"/>
    <n v="786.79"/>
    <n v="254.6"/>
    <n v="31"/>
    <x v="0"/>
    <s v="NetBanking"/>
  </r>
  <r>
    <n v="101192"/>
    <x v="265"/>
    <s v="AD-1736-A"/>
    <x v="13"/>
    <x v="0"/>
    <x v="0"/>
    <x v="1"/>
    <n v="3"/>
    <n v="140.07"/>
    <n v="0"/>
    <n v="420.21"/>
    <n v="138.38999999999999"/>
    <n v="16"/>
    <x v="0"/>
    <s v="Debit Card"/>
  </r>
  <r>
    <n v="100671"/>
    <x v="219"/>
    <s v="AD-2033-B"/>
    <x v="17"/>
    <x v="2"/>
    <x v="0"/>
    <x v="0"/>
    <n v="3"/>
    <n v="43.78"/>
    <n v="10"/>
    <n v="118.21"/>
    <n v="58.07"/>
    <n v="18"/>
    <x v="0"/>
    <s v="UPI"/>
  </r>
  <r>
    <n v="100858"/>
    <x v="266"/>
    <s v="AD-1445-A"/>
    <x v="0"/>
    <x v="0"/>
    <x v="0"/>
    <x v="0"/>
    <n v="4"/>
    <n v="51.7"/>
    <n v="0"/>
    <n v="206.8"/>
    <n v="55.16"/>
    <n v="25"/>
    <x v="0"/>
    <s v="PayPal"/>
  </r>
  <r>
    <n v="100924"/>
    <x v="267"/>
    <s v="AD-7407-B"/>
    <x v="15"/>
    <x v="1"/>
    <x v="4"/>
    <x v="2"/>
    <n v="2"/>
    <n v="149.1"/>
    <n v="0"/>
    <n v="298.2"/>
    <n v="76.67"/>
    <n v="29"/>
    <x v="1"/>
    <s v="NetBanking"/>
  </r>
  <r>
    <n v="100066"/>
    <x v="116"/>
    <s v="AD-9031-A"/>
    <x v="4"/>
    <x v="2"/>
    <x v="4"/>
    <x v="1"/>
    <n v="1"/>
    <n v="64.12"/>
    <n v="0"/>
    <n v="64.12"/>
    <n v="20.440000000000001"/>
    <n v="27"/>
    <x v="1"/>
    <s v="Apple Pay"/>
  </r>
  <r>
    <n v="100067"/>
    <x v="268"/>
    <s v="AD-9817-D"/>
    <x v="11"/>
    <x v="0"/>
    <x v="0"/>
    <x v="1"/>
    <n v="2"/>
    <n v="29.99"/>
    <n v="0"/>
    <n v="59.98"/>
    <n v="21.37"/>
    <n v="36"/>
    <x v="1"/>
    <s v="NetBanking"/>
  </r>
  <r>
    <n v="100816"/>
    <x v="269"/>
    <s v="AD-1606-D"/>
    <x v="4"/>
    <x v="2"/>
    <x v="2"/>
    <x v="1"/>
    <n v="5"/>
    <n v="58.03"/>
    <n v="0"/>
    <n v="290.14999999999998"/>
    <n v="101.53"/>
    <n v="25"/>
    <x v="0"/>
    <s v="NetBanking"/>
  </r>
  <r>
    <n v="100211"/>
    <x v="270"/>
    <s v="AD-8531-C"/>
    <x v="16"/>
    <x v="1"/>
    <x v="3"/>
    <x v="1"/>
    <n v="3"/>
    <n v="40.36"/>
    <n v="0"/>
    <n v="121.08"/>
    <n v="36.14"/>
    <n v="46"/>
    <x v="1"/>
    <s v="PayPal"/>
  </r>
  <r>
    <n v="100012"/>
    <x v="271"/>
    <s v="AD-9201-B"/>
    <x v="13"/>
    <x v="0"/>
    <x v="1"/>
    <x v="1"/>
    <n v="2"/>
    <n v="123.18"/>
    <n v="10"/>
    <n v="221.72"/>
    <n v="75.06"/>
    <n v="21"/>
    <x v="0"/>
    <s v="NetBanking"/>
  </r>
  <r>
    <n v="100493"/>
    <x v="272"/>
    <s v="AD-4281-A"/>
    <x v="7"/>
    <x v="1"/>
    <x v="4"/>
    <x v="0"/>
    <n v="5"/>
    <n v="163.98"/>
    <n v="10"/>
    <n v="737.91"/>
    <n v="217.96"/>
    <n v="20"/>
    <x v="0"/>
    <s v="Apple Pay"/>
  </r>
  <r>
    <n v="101164"/>
    <x v="273"/>
    <s v="AD-3320-C"/>
    <x v="1"/>
    <x v="0"/>
    <x v="0"/>
    <x v="0"/>
    <n v="2"/>
    <n v="22.68"/>
    <n v="0"/>
    <n v="45.36"/>
    <n v="17.010000000000002"/>
    <n v="29"/>
    <x v="0"/>
    <s v="UPI"/>
  </r>
  <r>
    <n v="100299"/>
    <x v="274"/>
    <s v="AD-1972-C"/>
    <x v="19"/>
    <x v="1"/>
    <x v="4"/>
    <x v="0"/>
    <n v="3"/>
    <n v="129.63"/>
    <n v="0"/>
    <n v="388.89"/>
    <n v="108.37"/>
    <n v="25"/>
    <x v="1"/>
    <s v="UPI"/>
  </r>
  <r>
    <n v="100410"/>
    <x v="275"/>
    <s v="AD-6864-D"/>
    <x v="18"/>
    <x v="1"/>
    <x v="1"/>
    <x v="1"/>
    <n v="3"/>
    <n v="74.069999999999993"/>
    <n v="0"/>
    <n v="222.21"/>
    <n v="68.72"/>
    <n v="36"/>
    <x v="0"/>
    <s v="UPI"/>
  </r>
  <r>
    <n v="100756"/>
    <x v="276"/>
    <s v="AD-2552-C"/>
    <x v="1"/>
    <x v="0"/>
    <x v="3"/>
    <x v="0"/>
    <n v="4"/>
    <n v="24.96"/>
    <n v="10"/>
    <n v="89.86"/>
    <n v="21.45"/>
    <n v="37"/>
    <x v="1"/>
    <s v="Debit Card"/>
  </r>
  <r>
    <n v="101074"/>
    <x v="277"/>
    <s v="AD-3988-D"/>
    <x v="14"/>
    <x v="1"/>
    <x v="4"/>
    <x v="1"/>
    <n v="3"/>
    <n v="219.01"/>
    <n v="10"/>
    <n v="591.33000000000004"/>
    <n v="166.09"/>
    <n v="34"/>
    <x v="0"/>
    <s v="PayPal"/>
  </r>
  <r>
    <n v="100695"/>
    <x v="278"/>
    <s v="AD-6989-D"/>
    <x v="15"/>
    <x v="1"/>
    <x v="2"/>
    <x v="0"/>
    <n v="3"/>
    <n v="162.84"/>
    <n v="0"/>
    <n v="488.52"/>
    <n v="148.62"/>
    <n v="43"/>
    <x v="1"/>
    <s v="Apple Pay"/>
  </r>
  <r>
    <n v="101150"/>
    <x v="279"/>
    <s v="AD-3413-D"/>
    <x v="12"/>
    <x v="0"/>
    <x v="4"/>
    <x v="0"/>
    <n v="2"/>
    <n v="140.49"/>
    <n v="20"/>
    <n v="224.78"/>
    <n v="75.83"/>
    <n v="29"/>
    <x v="1"/>
    <s v="Debit Card"/>
  </r>
  <r>
    <n v="100723"/>
    <x v="280"/>
    <s v="AD-5778-A"/>
    <x v="15"/>
    <x v="1"/>
    <x v="1"/>
    <x v="2"/>
    <n v="3"/>
    <n v="147.44"/>
    <n v="40"/>
    <n v="265.39"/>
    <n v="83.86"/>
    <n v="43"/>
    <x v="1"/>
    <s v="NetBanking"/>
  </r>
  <r>
    <n v="101015"/>
    <x v="281"/>
    <s v="AD-6007-D"/>
    <x v="4"/>
    <x v="2"/>
    <x v="0"/>
    <x v="3"/>
    <n v="3"/>
    <n v="59.74"/>
    <n v="0"/>
    <n v="179.22"/>
    <n v="59.57"/>
    <n v="20"/>
    <x v="1"/>
    <s v="Debit Card"/>
  </r>
  <r>
    <n v="100527"/>
    <x v="280"/>
    <s v="AD-5664-C"/>
    <x v="12"/>
    <x v="0"/>
    <x v="4"/>
    <x v="0"/>
    <n v="2"/>
    <n v="149.47"/>
    <n v="0"/>
    <n v="298.94"/>
    <n v="82.76"/>
    <n v="43"/>
    <x v="0"/>
    <s v="NetBanking"/>
  </r>
  <r>
    <n v="100599"/>
    <x v="282"/>
    <s v="AD-8001-A"/>
    <x v="15"/>
    <x v="1"/>
    <x v="4"/>
    <x v="0"/>
    <n v="4"/>
    <n v="155.11000000000001"/>
    <n v="10"/>
    <n v="558.4"/>
    <n v="140.93"/>
    <n v="24"/>
    <x v="1"/>
    <s v="Debit Card"/>
  </r>
  <r>
    <n v="101119"/>
    <x v="283"/>
    <s v="AD-4056-B"/>
    <x v="12"/>
    <x v="0"/>
    <x v="0"/>
    <x v="3"/>
    <n v="3"/>
    <n v="160.26"/>
    <n v="10"/>
    <n v="432.7"/>
    <n v="138.96"/>
    <n v="16"/>
    <x v="0"/>
    <s v="Cash"/>
  </r>
  <r>
    <n v="100566"/>
    <x v="284"/>
    <s v="AD-2405-A"/>
    <x v="14"/>
    <x v="1"/>
    <x v="2"/>
    <x v="0"/>
    <n v="3"/>
    <n v="211.03"/>
    <n v="5"/>
    <n v="601.44000000000005"/>
    <n v="181.47"/>
    <n v="31"/>
    <x v="0"/>
    <s v="PayPal"/>
  </r>
  <r>
    <n v="100730"/>
    <x v="152"/>
    <s v="AD-1537-A"/>
    <x v="18"/>
    <x v="1"/>
    <x v="0"/>
    <x v="1"/>
    <n v="3"/>
    <n v="95.98"/>
    <n v="10"/>
    <n v="259.14999999999998"/>
    <n v="73.569999999999993"/>
    <n v="32"/>
    <x v="1"/>
    <s v="Debit Card"/>
  </r>
  <r>
    <n v="100273"/>
    <x v="40"/>
    <s v="AD-8212-C"/>
    <x v="14"/>
    <x v="1"/>
    <x v="3"/>
    <x v="0"/>
    <n v="2"/>
    <n v="220.53"/>
    <n v="5"/>
    <n v="419.01"/>
    <n v="123.73"/>
    <n v="29"/>
    <x v="0"/>
    <s v="Cash"/>
  </r>
  <r>
    <n v="100966"/>
    <x v="285"/>
    <s v="AD-4846-D"/>
    <x v="7"/>
    <x v="1"/>
    <x v="4"/>
    <x v="0"/>
    <n v="2"/>
    <n v="161.53"/>
    <n v="10"/>
    <n v="290.75"/>
    <n v="75.05"/>
    <n v="16"/>
    <x v="1"/>
    <s v="Credit Card"/>
  </r>
  <r>
    <n v="100237"/>
    <x v="286"/>
    <s v="AD-5516-B"/>
    <x v="8"/>
    <x v="2"/>
    <x v="1"/>
    <x v="0"/>
    <n v="2"/>
    <n v="13.78"/>
    <n v="5"/>
    <n v="26.18"/>
    <n v="8.6999999999999993"/>
    <n v="23"/>
    <x v="1"/>
    <s v="PayPal"/>
  </r>
  <r>
    <n v="100405"/>
    <x v="287"/>
    <s v="AD-1313-B"/>
    <x v="9"/>
    <x v="2"/>
    <x v="4"/>
    <x v="3"/>
    <n v="3"/>
    <n v="19.11"/>
    <n v="5"/>
    <n v="54.46"/>
    <n v="20.02"/>
    <n v="30"/>
    <x v="0"/>
    <s v="Apple Pay"/>
  </r>
  <r>
    <n v="100002"/>
    <x v="288"/>
    <s v="AD-5552-B"/>
    <x v="1"/>
    <x v="0"/>
    <x v="4"/>
    <x v="2"/>
    <n v="3"/>
    <n v="23.86"/>
    <n v="0"/>
    <n v="71.58"/>
    <n v="16.07"/>
    <n v="21"/>
    <x v="0"/>
    <s v="Cash"/>
  </r>
  <r>
    <n v="100006"/>
    <x v="289"/>
    <s v="AD-3803-B"/>
    <x v="11"/>
    <x v="0"/>
    <x v="1"/>
    <x v="1"/>
    <n v="2"/>
    <n v="30.7"/>
    <n v="20"/>
    <n v="49.12"/>
    <n v="11.88"/>
    <n v="25"/>
    <x v="0"/>
    <s v="Debit Card"/>
  </r>
  <r>
    <n v="100311"/>
    <x v="290"/>
    <s v="AD-2463-A"/>
    <x v="18"/>
    <x v="1"/>
    <x v="1"/>
    <x v="0"/>
    <n v="3"/>
    <n v="81.489999999999995"/>
    <n v="0"/>
    <n v="244.47"/>
    <n v="98.55"/>
    <n v="21"/>
    <x v="1"/>
    <s v="Apple Pay"/>
  </r>
  <r>
    <n v="101090"/>
    <x v="146"/>
    <s v="AD-5589-C"/>
    <x v="2"/>
    <x v="1"/>
    <x v="1"/>
    <x v="0"/>
    <n v="2"/>
    <n v="88.81"/>
    <n v="5"/>
    <n v="168.74"/>
    <n v="52.11"/>
    <n v="30"/>
    <x v="1"/>
    <s v="Debit Card"/>
  </r>
  <r>
    <n v="100451"/>
    <x v="291"/>
    <s v="AD-2200-A"/>
    <x v="2"/>
    <x v="1"/>
    <x v="4"/>
    <x v="1"/>
    <n v="1"/>
    <n v="96.41"/>
    <n v="0"/>
    <n v="96.41"/>
    <n v="36.99"/>
    <n v="40"/>
    <x v="1"/>
    <s v="Debit Card"/>
  </r>
  <r>
    <n v="100721"/>
    <x v="292"/>
    <s v="AD-2959-C"/>
    <x v="11"/>
    <x v="0"/>
    <x v="0"/>
    <x v="2"/>
    <n v="2"/>
    <n v="31.42"/>
    <n v="0"/>
    <n v="62.84"/>
    <n v="15.89"/>
    <n v="23"/>
    <x v="0"/>
    <s v="Google Pay"/>
  </r>
  <r>
    <n v="100215"/>
    <x v="293"/>
    <s v="AD-2294-C"/>
    <x v="12"/>
    <x v="0"/>
    <x v="3"/>
    <x v="2"/>
    <n v="6"/>
    <n v="143.68"/>
    <n v="0"/>
    <n v="862.08"/>
    <n v="302.91000000000003"/>
    <n v="20"/>
    <x v="1"/>
    <s v="NetBanking"/>
  </r>
  <r>
    <n v="101085"/>
    <x v="294"/>
    <s v="AD-1388-D"/>
    <x v="18"/>
    <x v="1"/>
    <x v="2"/>
    <x v="1"/>
    <n v="4"/>
    <n v="67.959999999999994"/>
    <n v="5"/>
    <n v="258.25"/>
    <n v="117.48"/>
    <n v="27"/>
    <x v="1"/>
    <s v="PayPal"/>
  </r>
  <r>
    <n v="100027"/>
    <x v="295"/>
    <s v="AD-4044-A"/>
    <x v="9"/>
    <x v="2"/>
    <x v="2"/>
    <x v="0"/>
    <n v="5"/>
    <n v="21.43"/>
    <n v="0"/>
    <n v="107.15"/>
    <n v="45.59"/>
    <n v="50"/>
    <x v="0"/>
    <s v="Debit Card"/>
  </r>
  <r>
    <n v="101157"/>
    <x v="296"/>
    <s v="AD-2544-B"/>
    <x v="7"/>
    <x v="1"/>
    <x v="1"/>
    <x v="0"/>
    <n v="2"/>
    <n v="165.61"/>
    <n v="0"/>
    <n v="331.22"/>
    <n v="93.05"/>
    <n v="19"/>
    <x v="0"/>
    <s v="Credit Card"/>
  </r>
  <r>
    <n v="100361"/>
    <x v="297"/>
    <s v="AD-2661-D"/>
    <x v="4"/>
    <x v="2"/>
    <x v="2"/>
    <x v="1"/>
    <n v="4"/>
    <n v="70.709999999999994"/>
    <n v="0"/>
    <n v="282.83999999999997"/>
    <n v="77.739999999999995"/>
    <n v="25"/>
    <x v="1"/>
    <s v="Apple Pay"/>
  </r>
  <r>
    <n v="100822"/>
    <x v="275"/>
    <s v="AD-7815-D"/>
    <x v="2"/>
    <x v="1"/>
    <x v="4"/>
    <x v="0"/>
    <n v="1"/>
    <n v="98.91"/>
    <n v="0"/>
    <n v="98.91"/>
    <n v="33.729999999999997"/>
    <n v="22"/>
    <x v="0"/>
    <s v="Debit Card"/>
  </r>
  <r>
    <n v="100780"/>
    <x v="298"/>
    <s v="AD-5289-B"/>
    <x v="8"/>
    <x v="2"/>
    <x v="0"/>
    <x v="2"/>
    <n v="3"/>
    <n v="14.79"/>
    <n v="0"/>
    <n v="44.37"/>
    <n v="16.170000000000002"/>
    <n v="29"/>
    <x v="0"/>
    <s v="UPI"/>
  </r>
  <r>
    <n v="100628"/>
    <x v="299"/>
    <s v="AD-8294-B"/>
    <x v="17"/>
    <x v="2"/>
    <x v="4"/>
    <x v="1"/>
    <n v="4"/>
    <n v="41.47"/>
    <n v="0"/>
    <n v="165.88"/>
    <n v="43.36"/>
    <n v="16"/>
    <x v="1"/>
    <s v="Debit Card"/>
  </r>
  <r>
    <n v="100453"/>
    <x v="268"/>
    <s v="AD-1745-A"/>
    <x v="13"/>
    <x v="0"/>
    <x v="0"/>
    <x v="1"/>
    <n v="3"/>
    <n v="129.72999999999999"/>
    <n v="10"/>
    <n v="350.27"/>
    <n v="119.46"/>
    <n v="32"/>
    <x v="0"/>
    <s v="Debit Card"/>
  </r>
  <r>
    <n v="100738"/>
    <x v="300"/>
    <s v="AD-8793-C"/>
    <x v="3"/>
    <x v="2"/>
    <x v="1"/>
    <x v="3"/>
    <n v="2"/>
    <n v="21.15"/>
    <n v="20"/>
    <n v="33.840000000000003"/>
    <n v="12.52"/>
    <n v="29"/>
    <x v="1"/>
    <s v="Debit Card"/>
  </r>
  <r>
    <n v="100535"/>
    <x v="301"/>
    <s v="AD-2850-B"/>
    <x v="9"/>
    <x v="2"/>
    <x v="4"/>
    <x v="2"/>
    <n v="2"/>
    <n v="22.95"/>
    <n v="0"/>
    <n v="45.9"/>
    <n v="16.100000000000001"/>
    <n v="33"/>
    <x v="0"/>
    <s v="UPI"/>
  </r>
  <r>
    <n v="101049"/>
    <x v="302"/>
    <s v="AD-6317-A"/>
    <x v="5"/>
    <x v="0"/>
    <x v="4"/>
    <x v="0"/>
    <n v="4"/>
    <n v="75.430000000000007"/>
    <n v="0"/>
    <n v="301.72000000000003"/>
    <n v="100.75"/>
    <n v="30"/>
    <x v="0"/>
    <s v="Cash"/>
  </r>
  <r>
    <n v="100398"/>
    <x v="303"/>
    <s v="AD-3250-B"/>
    <x v="18"/>
    <x v="1"/>
    <x v="1"/>
    <x v="0"/>
    <n v="3"/>
    <n v="67.58"/>
    <n v="0"/>
    <n v="202.74"/>
    <n v="58.89"/>
    <n v="34"/>
    <x v="1"/>
    <s v="PayPal"/>
  </r>
  <r>
    <n v="100256"/>
    <x v="304"/>
    <s v="AD-1280-D"/>
    <x v="6"/>
    <x v="1"/>
    <x v="1"/>
    <x v="0"/>
    <n v="5"/>
    <n v="172.7"/>
    <n v="0"/>
    <n v="863.5"/>
    <n v="208.49"/>
    <n v="25"/>
    <x v="0"/>
    <s v="NetBanking"/>
  </r>
  <r>
    <n v="100291"/>
    <x v="305"/>
    <s v="AD-3258-D"/>
    <x v="5"/>
    <x v="0"/>
    <x v="4"/>
    <x v="1"/>
    <n v="3"/>
    <n v="68.91"/>
    <n v="5"/>
    <n v="196.39"/>
    <n v="41.2"/>
    <n v="16"/>
    <x v="1"/>
    <s v="Apple Pay"/>
  </r>
  <r>
    <n v="100025"/>
    <x v="202"/>
    <s v="AD-7930-D"/>
    <x v="12"/>
    <x v="0"/>
    <x v="1"/>
    <x v="3"/>
    <n v="2"/>
    <n v="134.36000000000001"/>
    <n v="10"/>
    <n v="241.85"/>
    <n v="45.22"/>
    <n v="30"/>
    <x v="0"/>
    <s v="NetBanking"/>
  </r>
  <r>
    <n v="100336"/>
    <x v="306"/>
    <s v="AD-6211-D"/>
    <x v="14"/>
    <x v="1"/>
    <x v="4"/>
    <x v="0"/>
    <n v="1"/>
    <n v="212.26"/>
    <n v="20"/>
    <n v="169.81"/>
    <n v="32.200000000000003"/>
    <n v="26"/>
    <x v="0"/>
    <s v="Cash"/>
  </r>
  <r>
    <n v="100584"/>
    <x v="65"/>
    <s v="AD-6323-D"/>
    <x v="16"/>
    <x v="1"/>
    <x v="4"/>
    <x v="3"/>
    <n v="2"/>
    <n v="34"/>
    <n v="0"/>
    <n v="68"/>
    <n v="20.12"/>
    <n v="24"/>
    <x v="2"/>
    <s v="Google Pay"/>
  </r>
  <r>
    <n v="100047"/>
    <x v="307"/>
    <s v="AD-8618-D"/>
    <x v="6"/>
    <x v="1"/>
    <x v="4"/>
    <x v="1"/>
    <n v="2"/>
    <n v="194.87"/>
    <n v="5"/>
    <n v="370.25"/>
    <n v="134.53"/>
    <n v="24"/>
    <x v="0"/>
    <s v="Cash"/>
  </r>
  <r>
    <n v="100318"/>
    <x v="308"/>
    <s v="AD-1273-A"/>
    <x v="17"/>
    <x v="2"/>
    <x v="1"/>
    <x v="0"/>
    <n v="4"/>
    <n v="37.880000000000003"/>
    <n v="5"/>
    <n v="143.94"/>
    <n v="27.05"/>
    <n v="29"/>
    <x v="1"/>
    <s v="Debit Card"/>
  </r>
  <r>
    <n v="100106"/>
    <x v="154"/>
    <s v="AD-7302-D"/>
    <x v="0"/>
    <x v="0"/>
    <x v="1"/>
    <x v="0"/>
    <n v="4"/>
    <n v="47.21"/>
    <n v="0"/>
    <n v="188.84"/>
    <n v="41.18"/>
    <n v="31"/>
    <x v="0"/>
    <s v="UPI"/>
  </r>
  <r>
    <n v="100798"/>
    <x v="309"/>
    <s v="AD-6323-B"/>
    <x v="1"/>
    <x v="0"/>
    <x v="4"/>
    <x v="3"/>
    <n v="4"/>
    <n v="24.24"/>
    <n v="0"/>
    <n v="96.96"/>
    <n v="30.33"/>
    <n v="16"/>
    <x v="0"/>
    <s v="Google Pay"/>
  </r>
  <r>
    <n v="100055"/>
    <x v="310"/>
    <s v="AD-6421-D"/>
    <x v="14"/>
    <x v="1"/>
    <x v="0"/>
    <x v="1"/>
    <n v="1"/>
    <n v="234.95"/>
    <n v="20"/>
    <n v="187.96"/>
    <n v="65.34"/>
    <n v="41"/>
    <x v="1"/>
    <s v="Apple Pay"/>
  </r>
  <r>
    <n v="100522"/>
    <x v="311"/>
    <s v="AD-8480-D"/>
    <x v="8"/>
    <x v="2"/>
    <x v="1"/>
    <x v="0"/>
    <n v="2"/>
    <n v="14.5"/>
    <n v="0"/>
    <n v="29"/>
    <n v="7.69"/>
    <n v="29"/>
    <x v="0"/>
    <s v="PayPal"/>
  </r>
  <r>
    <n v="100213"/>
    <x v="312"/>
    <s v="AD-4396-D"/>
    <x v="5"/>
    <x v="0"/>
    <x v="4"/>
    <x v="3"/>
    <n v="3"/>
    <n v="72.52"/>
    <n v="40"/>
    <n v="130.54"/>
    <n v="49.34"/>
    <n v="20"/>
    <x v="2"/>
    <s v="NetBanking"/>
  </r>
  <r>
    <n v="100120"/>
    <x v="281"/>
    <s v="AD-1349-A"/>
    <x v="16"/>
    <x v="1"/>
    <x v="3"/>
    <x v="2"/>
    <n v="3"/>
    <n v="33.35"/>
    <n v="0"/>
    <n v="100.05"/>
    <n v="29.35"/>
    <n v="21"/>
    <x v="1"/>
    <s v="UPI"/>
  </r>
  <r>
    <n v="100917"/>
    <x v="313"/>
    <s v="AD-5991-A"/>
    <x v="12"/>
    <x v="0"/>
    <x v="1"/>
    <x v="1"/>
    <n v="1"/>
    <n v="121.1"/>
    <n v="10"/>
    <n v="108.99"/>
    <n v="23.56"/>
    <n v="29"/>
    <x v="1"/>
    <s v="Google Pay"/>
  </r>
  <r>
    <n v="101067"/>
    <x v="314"/>
    <s v="AD-8885-D"/>
    <x v="13"/>
    <x v="0"/>
    <x v="4"/>
    <x v="0"/>
    <n v="3"/>
    <n v="119.28"/>
    <n v="0"/>
    <n v="357.84"/>
    <n v="121.1"/>
    <n v="32"/>
    <x v="1"/>
    <s v="Apple Pay"/>
  </r>
  <r>
    <n v="101117"/>
    <x v="315"/>
    <s v="AD-3605-C"/>
    <x v="14"/>
    <x v="1"/>
    <x v="0"/>
    <x v="1"/>
    <n v="6"/>
    <n v="234.25"/>
    <n v="0"/>
    <n v="1405.5"/>
    <n v="364.55"/>
    <n v="46"/>
    <x v="0"/>
    <s v="NetBanking"/>
  </r>
  <r>
    <n v="100072"/>
    <x v="12"/>
    <s v="AD-9698-C"/>
    <x v="0"/>
    <x v="0"/>
    <x v="0"/>
    <x v="0"/>
    <n v="2"/>
    <n v="48.61"/>
    <n v="20"/>
    <n v="77.78"/>
    <n v="25.44"/>
    <n v="38"/>
    <x v="0"/>
    <s v="Google Pay"/>
  </r>
  <r>
    <n v="100947"/>
    <x v="90"/>
    <s v="AD-1853-B"/>
    <x v="13"/>
    <x v="0"/>
    <x v="0"/>
    <x v="0"/>
    <n v="4"/>
    <n v="127.11"/>
    <n v="20"/>
    <n v="406.75"/>
    <n v="136.83000000000001"/>
    <n v="26"/>
    <x v="1"/>
    <s v="UPI"/>
  </r>
  <r>
    <n v="100746"/>
    <x v="316"/>
    <s v="AD-1517-D"/>
    <x v="9"/>
    <x v="2"/>
    <x v="4"/>
    <x v="0"/>
    <n v="2"/>
    <n v="18.37"/>
    <n v="5"/>
    <n v="34.9"/>
    <n v="11.59"/>
    <n v="16"/>
    <x v="0"/>
    <s v="Credit Card"/>
  </r>
  <r>
    <n v="100715"/>
    <x v="317"/>
    <s v="AD-7786-B"/>
    <x v="4"/>
    <x v="2"/>
    <x v="4"/>
    <x v="2"/>
    <n v="3"/>
    <n v="57.29"/>
    <n v="0"/>
    <n v="171.87"/>
    <n v="70.94"/>
    <n v="33"/>
    <x v="0"/>
    <s v="Apple Pay"/>
  </r>
  <r>
    <n v="100557"/>
    <x v="318"/>
    <s v="AD-5921-A"/>
    <x v="16"/>
    <x v="1"/>
    <x v="0"/>
    <x v="1"/>
    <n v="1"/>
    <n v="36.42"/>
    <n v="0"/>
    <n v="36.42"/>
    <n v="8.8699999999999992"/>
    <n v="49"/>
    <x v="1"/>
    <s v="Debit Card"/>
  </r>
  <r>
    <n v="101081"/>
    <x v="319"/>
    <s v="AD-9873-A"/>
    <x v="2"/>
    <x v="1"/>
    <x v="0"/>
    <x v="0"/>
    <n v="3"/>
    <n v="110.01"/>
    <n v="5"/>
    <n v="313.52999999999997"/>
    <n v="123.66"/>
    <n v="28"/>
    <x v="1"/>
    <s v="PayPal"/>
  </r>
  <r>
    <n v="101045"/>
    <x v="251"/>
    <s v="AD-7393-D"/>
    <x v="8"/>
    <x v="2"/>
    <x v="3"/>
    <x v="0"/>
    <n v="4"/>
    <n v="17.440000000000001"/>
    <n v="0"/>
    <n v="69.760000000000005"/>
    <n v="33.71"/>
    <n v="28"/>
    <x v="0"/>
    <s v="Apple Pay"/>
  </r>
  <r>
    <n v="100552"/>
    <x v="19"/>
    <s v="AD-4943-B"/>
    <x v="13"/>
    <x v="0"/>
    <x v="1"/>
    <x v="1"/>
    <n v="5"/>
    <n v="128.94999999999999"/>
    <n v="0"/>
    <n v="644.75"/>
    <n v="171.38"/>
    <n v="25"/>
    <x v="0"/>
    <s v="Cash"/>
  </r>
  <r>
    <n v="100561"/>
    <x v="104"/>
    <s v="AD-3425-B"/>
    <x v="3"/>
    <x v="2"/>
    <x v="0"/>
    <x v="0"/>
    <n v="1"/>
    <n v="17.79"/>
    <n v="0"/>
    <n v="17.79"/>
    <n v="5.36"/>
    <n v="45"/>
    <x v="1"/>
    <s v="Apple Pay"/>
  </r>
  <r>
    <n v="100424"/>
    <x v="153"/>
    <s v="AD-1587-A"/>
    <x v="13"/>
    <x v="0"/>
    <x v="1"/>
    <x v="1"/>
    <n v="2"/>
    <n v="106.07"/>
    <n v="10"/>
    <n v="190.93"/>
    <n v="53.32"/>
    <n v="37"/>
    <x v="1"/>
    <s v="Apple Pay"/>
  </r>
  <r>
    <n v="101013"/>
    <x v="249"/>
    <s v="AD-1866-C"/>
    <x v="6"/>
    <x v="1"/>
    <x v="0"/>
    <x v="1"/>
    <n v="3"/>
    <n v="196.56"/>
    <n v="0"/>
    <n v="589.67999999999995"/>
    <n v="194.21"/>
    <n v="24"/>
    <x v="1"/>
    <s v="NetBanking"/>
  </r>
  <r>
    <n v="100325"/>
    <x v="320"/>
    <s v="AD-7024-B"/>
    <x v="17"/>
    <x v="2"/>
    <x v="1"/>
    <x v="1"/>
    <n v="3"/>
    <n v="40.61"/>
    <n v="0"/>
    <n v="121.83"/>
    <n v="41.88"/>
    <n v="32"/>
    <x v="1"/>
    <s v="PayPal"/>
  </r>
  <r>
    <n v="100923"/>
    <x v="321"/>
    <s v="AD-8539-D"/>
    <x v="12"/>
    <x v="0"/>
    <x v="4"/>
    <x v="0"/>
    <n v="3"/>
    <n v="143.41999999999999"/>
    <n v="0"/>
    <n v="430.26"/>
    <n v="137.33000000000001"/>
    <n v="37"/>
    <x v="0"/>
    <s v="Google Pay"/>
  </r>
  <r>
    <n v="100316"/>
    <x v="296"/>
    <s v="AD-9108-D"/>
    <x v="10"/>
    <x v="2"/>
    <x v="4"/>
    <x v="0"/>
    <n v="4"/>
    <n v="37.36"/>
    <n v="0"/>
    <n v="149.44"/>
    <n v="42.96"/>
    <n v="36"/>
    <x v="0"/>
    <s v="UPI"/>
  </r>
  <r>
    <n v="100803"/>
    <x v="322"/>
    <s v="AD-8112-D"/>
    <x v="1"/>
    <x v="0"/>
    <x v="1"/>
    <x v="1"/>
    <n v="3"/>
    <n v="26.21"/>
    <n v="0"/>
    <n v="78.63"/>
    <n v="21.36"/>
    <n v="39"/>
    <x v="0"/>
    <s v="PayPal"/>
  </r>
  <r>
    <n v="101162"/>
    <x v="229"/>
    <s v="AD-6747-C"/>
    <x v="14"/>
    <x v="1"/>
    <x v="4"/>
    <x v="2"/>
    <n v="1"/>
    <n v="214.74"/>
    <n v="0"/>
    <n v="214.74"/>
    <n v="60.58"/>
    <n v="18"/>
    <x v="1"/>
    <s v="Google Pay"/>
  </r>
  <r>
    <n v="100528"/>
    <x v="323"/>
    <s v="AD-5458-D"/>
    <x v="16"/>
    <x v="1"/>
    <x v="4"/>
    <x v="0"/>
    <n v="3"/>
    <n v="38.49"/>
    <n v="0"/>
    <n v="115.47"/>
    <n v="34.28"/>
    <n v="25"/>
    <x v="0"/>
    <s v="Google Pay"/>
  </r>
  <r>
    <n v="100836"/>
    <x v="324"/>
    <s v="AD-2380-A"/>
    <x v="11"/>
    <x v="0"/>
    <x v="0"/>
    <x v="0"/>
    <n v="3"/>
    <n v="33.74"/>
    <n v="0"/>
    <n v="101.22"/>
    <n v="31.5"/>
    <n v="36"/>
    <x v="1"/>
    <s v="NetBanking"/>
  </r>
  <r>
    <n v="100714"/>
    <x v="325"/>
    <s v="AD-4533-D"/>
    <x v="11"/>
    <x v="0"/>
    <x v="1"/>
    <x v="0"/>
    <n v="2"/>
    <n v="31.34"/>
    <n v="10"/>
    <n v="56.41"/>
    <n v="15.34"/>
    <n v="40"/>
    <x v="1"/>
    <s v="Debit Card"/>
  </r>
  <r>
    <n v="100900"/>
    <x v="326"/>
    <s v="AD-5006-A"/>
    <x v="14"/>
    <x v="1"/>
    <x v="4"/>
    <x v="0"/>
    <n v="4"/>
    <n v="213.99"/>
    <n v="0"/>
    <n v="855.96"/>
    <n v="293.89999999999998"/>
    <n v="29"/>
    <x v="1"/>
    <s v="Apple Pay"/>
  </r>
  <r>
    <n v="100060"/>
    <x v="327"/>
    <s v="AD-5558-D"/>
    <x v="15"/>
    <x v="1"/>
    <x v="1"/>
    <x v="1"/>
    <n v="2"/>
    <n v="172.95"/>
    <n v="40"/>
    <n v="207.54"/>
    <n v="73.319999999999993"/>
    <n v="39"/>
    <x v="1"/>
    <s v="Apple Pay"/>
  </r>
  <r>
    <n v="100722"/>
    <x v="180"/>
    <s v="AD-3219-C"/>
    <x v="17"/>
    <x v="2"/>
    <x v="4"/>
    <x v="1"/>
    <n v="1"/>
    <n v="39.979999999999997"/>
    <n v="10"/>
    <n v="35.979999999999997"/>
    <n v="11.33"/>
    <n v="33"/>
    <x v="1"/>
    <s v="Google Pay"/>
  </r>
  <r>
    <n v="100092"/>
    <x v="328"/>
    <s v="AD-7684-A"/>
    <x v="6"/>
    <x v="1"/>
    <x v="0"/>
    <x v="0"/>
    <n v="2"/>
    <n v="180.41"/>
    <n v="0"/>
    <n v="360.82"/>
    <n v="125.72"/>
    <n v="42"/>
    <x v="1"/>
    <s v="Credit Card"/>
  </r>
  <r>
    <n v="100857"/>
    <x v="101"/>
    <s v="AD-5187-A"/>
    <x v="1"/>
    <x v="0"/>
    <x v="3"/>
    <x v="1"/>
    <n v="1"/>
    <n v="23.3"/>
    <n v="10"/>
    <n v="20.97"/>
    <n v="6.89"/>
    <n v="25"/>
    <x v="1"/>
    <s v="PayPal"/>
  </r>
  <r>
    <n v="100618"/>
    <x v="169"/>
    <s v="AD-6218-C"/>
    <x v="18"/>
    <x v="1"/>
    <x v="0"/>
    <x v="1"/>
    <n v="6"/>
    <n v="96.78"/>
    <n v="10"/>
    <n v="522.61"/>
    <n v="175.15"/>
    <n v="26"/>
    <x v="1"/>
    <s v="Cash"/>
  </r>
  <r>
    <n v="100351"/>
    <x v="329"/>
    <s v="AD-6761-B"/>
    <x v="7"/>
    <x v="1"/>
    <x v="0"/>
    <x v="2"/>
    <n v="4"/>
    <n v="137.62"/>
    <n v="20"/>
    <n v="440.38"/>
    <n v="108.09"/>
    <n v="26"/>
    <x v="0"/>
    <s v="Credit Card"/>
  </r>
  <r>
    <n v="100932"/>
    <x v="330"/>
    <s v="AD-9721-B"/>
    <x v="6"/>
    <x v="1"/>
    <x v="4"/>
    <x v="0"/>
    <n v="4"/>
    <n v="158.80000000000001"/>
    <n v="0"/>
    <n v="635.20000000000005"/>
    <n v="146.93"/>
    <n v="20"/>
    <x v="1"/>
    <s v="Credit Card"/>
  </r>
  <r>
    <n v="100280"/>
    <x v="331"/>
    <s v="AD-6432-D"/>
    <x v="5"/>
    <x v="0"/>
    <x v="1"/>
    <x v="1"/>
    <n v="2"/>
    <n v="69.319999999999993"/>
    <n v="0"/>
    <n v="138.63999999999999"/>
    <n v="42.31"/>
    <n v="35"/>
    <x v="1"/>
    <s v="Apple Pay"/>
  </r>
  <r>
    <n v="100420"/>
    <x v="332"/>
    <s v="AD-8895-C"/>
    <x v="13"/>
    <x v="0"/>
    <x v="0"/>
    <x v="1"/>
    <n v="6"/>
    <n v="107.1"/>
    <n v="0"/>
    <n v="642.6"/>
    <n v="118.11"/>
    <n v="33"/>
    <x v="1"/>
    <s v="UPI"/>
  </r>
  <r>
    <n v="101114"/>
    <x v="74"/>
    <s v="AD-6490-B"/>
    <x v="4"/>
    <x v="2"/>
    <x v="4"/>
    <x v="1"/>
    <n v="1"/>
    <n v="53.66"/>
    <n v="10"/>
    <n v="48.29"/>
    <n v="18.54"/>
    <n v="27"/>
    <x v="0"/>
    <s v="Cash"/>
  </r>
  <r>
    <n v="100359"/>
    <x v="333"/>
    <s v="AD-6500-D"/>
    <x v="13"/>
    <x v="0"/>
    <x v="4"/>
    <x v="3"/>
    <n v="5"/>
    <n v="122.2"/>
    <n v="0"/>
    <n v="611"/>
    <n v="167.15"/>
    <n v="33"/>
    <x v="1"/>
    <s v="Debit Card"/>
  </r>
  <r>
    <n v="100422"/>
    <x v="209"/>
    <s v="AD-1824-B"/>
    <x v="9"/>
    <x v="2"/>
    <x v="4"/>
    <x v="1"/>
    <n v="5"/>
    <n v="21.28"/>
    <n v="0"/>
    <n v="106.4"/>
    <n v="40.22"/>
    <n v="23"/>
    <x v="1"/>
    <s v="NetBanking"/>
  </r>
  <r>
    <n v="100678"/>
    <x v="334"/>
    <s v="AD-8605-B"/>
    <x v="18"/>
    <x v="1"/>
    <x v="3"/>
    <x v="1"/>
    <n v="6"/>
    <n v="89.06"/>
    <n v="0"/>
    <n v="534.36"/>
    <n v="143.36000000000001"/>
    <n v="29"/>
    <x v="0"/>
    <s v="UPI"/>
  </r>
  <r>
    <n v="100526"/>
    <x v="166"/>
    <s v="AD-7467-B"/>
    <x v="5"/>
    <x v="0"/>
    <x v="1"/>
    <x v="0"/>
    <n v="5"/>
    <n v="73.03"/>
    <n v="0"/>
    <n v="365.15"/>
    <n v="138.19999999999999"/>
    <n v="27"/>
    <x v="0"/>
    <s v="Apple Pay"/>
  </r>
  <r>
    <n v="100477"/>
    <x v="335"/>
    <s v="AD-3979-C"/>
    <x v="19"/>
    <x v="1"/>
    <x v="2"/>
    <x v="0"/>
    <n v="2"/>
    <n v="123.83"/>
    <n v="0"/>
    <n v="247.66"/>
    <n v="75.69"/>
    <n v="33"/>
    <x v="0"/>
    <s v="PayPal"/>
  </r>
  <r>
    <n v="101094"/>
    <x v="336"/>
    <s v="AD-5762-D"/>
    <x v="15"/>
    <x v="1"/>
    <x v="4"/>
    <x v="2"/>
    <n v="4"/>
    <n v="129.38"/>
    <n v="0"/>
    <n v="517.52"/>
    <n v="124.13"/>
    <n v="18"/>
    <x v="1"/>
    <s v="Debit Card"/>
  </r>
  <r>
    <n v="100182"/>
    <x v="337"/>
    <s v="AD-3513-D"/>
    <x v="2"/>
    <x v="1"/>
    <x v="0"/>
    <x v="0"/>
    <n v="3"/>
    <n v="99.33"/>
    <n v="20"/>
    <n v="238.39"/>
    <n v="76.849999999999994"/>
    <n v="39"/>
    <x v="0"/>
    <s v="Credit Card"/>
  </r>
  <r>
    <n v="101091"/>
    <x v="126"/>
    <s v="AD-8242-B"/>
    <x v="2"/>
    <x v="1"/>
    <x v="0"/>
    <x v="1"/>
    <n v="3"/>
    <n v="97.04"/>
    <n v="10"/>
    <n v="262.01"/>
    <n v="102.99"/>
    <n v="22"/>
    <x v="2"/>
    <s v="NetBanking"/>
  </r>
  <r>
    <n v="100432"/>
    <x v="22"/>
    <s v="AD-9259-D"/>
    <x v="17"/>
    <x v="2"/>
    <x v="0"/>
    <x v="0"/>
    <n v="3"/>
    <n v="38.090000000000003"/>
    <n v="20"/>
    <n v="91.42"/>
    <n v="31.63"/>
    <n v="33"/>
    <x v="0"/>
    <s v="Cash"/>
  </r>
  <r>
    <n v="100110"/>
    <x v="338"/>
    <s v="AD-7807-B"/>
    <x v="3"/>
    <x v="2"/>
    <x v="1"/>
    <x v="0"/>
    <n v="3"/>
    <n v="17.64"/>
    <n v="10"/>
    <n v="47.63"/>
    <n v="20.059999999999999"/>
    <n v="30"/>
    <x v="0"/>
    <s v="Cash"/>
  </r>
  <r>
    <n v="100370"/>
    <x v="339"/>
    <s v="AD-9871-D"/>
    <x v="1"/>
    <x v="0"/>
    <x v="4"/>
    <x v="1"/>
    <n v="4"/>
    <n v="24.73"/>
    <n v="0"/>
    <n v="98.92"/>
    <n v="33.65"/>
    <n v="45"/>
    <x v="1"/>
    <s v="Cash"/>
  </r>
  <r>
    <n v="100239"/>
    <x v="340"/>
    <s v="AD-1724-D"/>
    <x v="18"/>
    <x v="1"/>
    <x v="1"/>
    <x v="1"/>
    <n v="5"/>
    <n v="76.77"/>
    <n v="0"/>
    <n v="383.85"/>
    <n v="117.01"/>
    <n v="24"/>
    <x v="0"/>
    <s v="UPI"/>
  </r>
  <r>
    <n v="100708"/>
    <x v="341"/>
    <s v="AD-6246-B"/>
    <x v="0"/>
    <x v="0"/>
    <x v="4"/>
    <x v="3"/>
    <n v="3"/>
    <n v="57.58"/>
    <n v="10"/>
    <n v="155.47"/>
    <n v="39.68"/>
    <n v="42"/>
    <x v="0"/>
    <s v="Google Pay"/>
  </r>
  <r>
    <n v="100629"/>
    <x v="342"/>
    <s v="AD-6364-D"/>
    <x v="12"/>
    <x v="0"/>
    <x v="4"/>
    <x v="2"/>
    <n v="4"/>
    <n v="124.82"/>
    <n v="10"/>
    <n v="449.35"/>
    <n v="136.62"/>
    <n v="31"/>
    <x v="0"/>
    <s v="Apple Pay"/>
  </r>
  <r>
    <n v="100593"/>
    <x v="171"/>
    <s v="AD-3155-B"/>
    <x v="0"/>
    <x v="0"/>
    <x v="0"/>
    <x v="0"/>
    <n v="2"/>
    <n v="53.17"/>
    <n v="5"/>
    <n v="101.02"/>
    <n v="20.3"/>
    <n v="36"/>
    <x v="0"/>
    <s v="Debit Card"/>
  </r>
  <r>
    <n v="100485"/>
    <x v="40"/>
    <s v="AD-5514-D"/>
    <x v="14"/>
    <x v="1"/>
    <x v="0"/>
    <x v="0"/>
    <n v="3"/>
    <n v="211.95"/>
    <n v="5"/>
    <n v="604.05999999999995"/>
    <n v="172.89"/>
    <n v="37"/>
    <x v="1"/>
    <s v="Cash"/>
  </r>
  <r>
    <n v="100700"/>
    <x v="50"/>
    <s v="AD-5521-A"/>
    <x v="2"/>
    <x v="1"/>
    <x v="4"/>
    <x v="3"/>
    <n v="5"/>
    <n v="89.74"/>
    <n v="5"/>
    <n v="426.26"/>
    <n v="85.91"/>
    <n v="28"/>
    <x v="1"/>
    <s v="PayPal"/>
  </r>
  <r>
    <n v="100261"/>
    <x v="343"/>
    <s v="AD-3938-C"/>
    <x v="17"/>
    <x v="2"/>
    <x v="4"/>
    <x v="0"/>
    <n v="6"/>
    <n v="39.33"/>
    <n v="5"/>
    <n v="224.18"/>
    <n v="84.62"/>
    <n v="26"/>
    <x v="0"/>
    <s v="Credit Card"/>
  </r>
  <r>
    <n v="100479"/>
    <x v="344"/>
    <s v="AD-3906-D"/>
    <x v="10"/>
    <x v="2"/>
    <x v="1"/>
    <x v="0"/>
    <n v="4"/>
    <n v="40.33"/>
    <n v="0"/>
    <n v="161.32"/>
    <n v="56.08"/>
    <n v="22"/>
    <x v="1"/>
    <s v="Debit Card"/>
  </r>
  <r>
    <n v="100649"/>
    <x v="345"/>
    <s v="AD-8803-B"/>
    <x v="1"/>
    <x v="0"/>
    <x v="4"/>
    <x v="0"/>
    <n v="2"/>
    <n v="22.33"/>
    <n v="0"/>
    <n v="44.66"/>
    <n v="11.29"/>
    <n v="28"/>
    <x v="1"/>
    <s v="NetBanking"/>
  </r>
  <r>
    <n v="100339"/>
    <x v="346"/>
    <s v="AD-4522-C"/>
    <x v="18"/>
    <x v="1"/>
    <x v="0"/>
    <x v="0"/>
    <n v="3"/>
    <n v="81.069999999999993"/>
    <n v="10"/>
    <n v="218.89"/>
    <n v="63.91"/>
    <n v="35"/>
    <x v="0"/>
    <s v="Credit Card"/>
  </r>
  <r>
    <n v="100668"/>
    <x v="347"/>
    <s v="AD-9791-B"/>
    <x v="13"/>
    <x v="0"/>
    <x v="4"/>
    <x v="0"/>
    <n v="3"/>
    <n v="113.96"/>
    <n v="0"/>
    <n v="341.88"/>
    <n v="80.36"/>
    <n v="45"/>
    <x v="0"/>
    <s v="Google Pay"/>
  </r>
  <r>
    <n v="100551"/>
    <x v="348"/>
    <s v="AD-6772-C"/>
    <x v="7"/>
    <x v="1"/>
    <x v="1"/>
    <x v="1"/>
    <n v="5"/>
    <n v="160.13"/>
    <n v="0"/>
    <n v="800.65"/>
    <n v="202.21"/>
    <n v="43"/>
    <x v="1"/>
    <s v="Google Pay"/>
  </r>
  <r>
    <n v="100458"/>
    <x v="349"/>
    <s v="AD-3971-A"/>
    <x v="10"/>
    <x v="2"/>
    <x v="4"/>
    <x v="1"/>
    <n v="3"/>
    <n v="45.06"/>
    <n v="10"/>
    <n v="121.66"/>
    <n v="39.409999999999997"/>
    <n v="25"/>
    <x v="1"/>
    <s v="Debit Card"/>
  </r>
  <r>
    <n v="100183"/>
    <x v="313"/>
    <s v="AD-6150-C"/>
    <x v="11"/>
    <x v="0"/>
    <x v="0"/>
    <x v="1"/>
    <n v="2"/>
    <n v="31.18"/>
    <n v="5"/>
    <n v="59.24"/>
    <n v="17.920000000000002"/>
    <n v="23"/>
    <x v="1"/>
    <s v="Apple Pay"/>
  </r>
  <r>
    <n v="100137"/>
    <x v="192"/>
    <s v="AD-1815-A"/>
    <x v="13"/>
    <x v="0"/>
    <x v="0"/>
    <x v="0"/>
    <n v="3"/>
    <n v="103.58"/>
    <n v="0"/>
    <n v="310.74"/>
    <n v="62.98"/>
    <n v="30"/>
    <x v="1"/>
    <s v="PayPal"/>
  </r>
  <r>
    <n v="101160"/>
    <x v="37"/>
    <s v="AD-8763-A"/>
    <x v="1"/>
    <x v="0"/>
    <x v="4"/>
    <x v="1"/>
    <n v="3"/>
    <n v="25.83"/>
    <n v="0"/>
    <n v="77.489999999999995"/>
    <n v="27.12"/>
    <n v="37"/>
    <x v="1"/>
    <s v="Cash"/>
  </r>
  <r>
    <n v="100706"/>
    <x v="350"/>
    <s v="AD-5266-C"/>
    <x v="14"/>
    <x v="1"/>
    <x v="4"/>
    <x v="3"/>
    <n v="2"/>
    <n v="203.8"/>
    <n v="20"/>
    <n v="326.08"/>
    <n v="89.79"/>
    <n v="22"/>
    <x v="0"/>
    <s v="Google Pay"/>
  </r>
  <r>
    <n v="100581"/>
    <x v="351"/>
    <s v="AD-4783-B"/>
    <x v="1"/>
    <x v="0"/>
    <x v="4"/>
    <x v="0"/>
    <n v="1"/>
    <n v="24.55"/>
    <n v="20"/>
    <n v="19.64"/>
    <n v="6.73"/>
    <n v="43"/>
    <x v="1"/>
    <s v="NetBanking"/>
  </r>
  <r>
    <n v="100080"/>
    <x v="352"/>
    <s v="AD-4404-B"/>
    <x v="17"/>
    <x v="2"/>
    <x v="1"/>
    <x v="1"/>
    <n v="5"/>
    <n v="40.369999999999997"/>
    <n v="0"/>
    <n v="201.85"/>
    <n v="88.53"/>
    <n v="35"/>
    <x v="0"/>
    <s v="Debit Card"/>
  </r>
  <r>
    <n v="100768"/>
    <x v="353"/>
    <s v="AD-9034-C"/>
    <x v="14"/>
    <x v="1"/>
    <x v="4"/>
    <x v="0"/>
    <n v="3"/>
    <n v="238.57"/>
    <n v="10"/>
    <n v="644.14"/>
    <n v="187.22"/>
    <n v="39"/>
    <x v="1"/>
    <s v="Credit Card"/>
  </r>
  <r>
    <n v="100869"/>
    <x v="354"/>
    <s v="AD-9816-A"/>
    <x v="6"/>
    <x v="1"/>
    <x v="1"/>
    <x v="2"/>
    <n v="4"/>
    <n v="179.15"/>
    <n v="0"/>
    <n v="716.6"/>
    <n v="314.19"/>
    <n v="25"/>
    <x v="0"/>
    <s v="Apple Pay"/>
  </r>
  <r>
    <n v="100761"/>
    <x v="138"/>
    <s v="AD-5201-B"/>
    <x v="2"/>
    <x v="1"/>
    <x v="2"/>
    <x v="0"/>
    <n v="3"/>
    <n v="107.31"/>
    <n v="0"/>
    <n v="321.93"/>
    <n v="90.73"/>
    <n v="16"/>
    <x v="1"/>
    <s v="PayPal"/>
  </r>
  <r>
    <n v="100029"/>
    <x v="171"/>
    <s v="AD-4910-C"/>
    <x v="17"/>
    <x v="2"/>
    <x v="1"/>
    <x v="0"/>
    <n v="4"/>
    <n v="40.950000000000003"/>
    <n v="0"/>
    <n v="163.80000000000001"/>
    <n v="57.41"/>
    <n v="24"/>
    <x v="0"/>
    <s v="Cash"/>
  </r>
  <r>
    <n v="100541"/>
    <x v="355"/>
    <s v="AD-2128-B"/>
    <x v="11"/>
    <x v="0"/>
    <x v="1"/>
    <x v="2"/>
    <n v="3"/>
    <n v="28.77"/>
    <n v="5"/>
    <n v="81.99"/>
    <n v="22.73"/>
    <n v="26"/>
    <x v="0"/>
    <s v="PayPal"/>
  </r>
  <r>
    <n v="100165"/>
    <x v="356"/>
    <s v="AD-7142-B"/>
    <x v="6"/>
    <x v="1"/>
    <x v="1"/>
    <x v="0"/>
    <n v="3"/>
    <n v="161.88999999999999"/>
    <n v="5"/>
    <n v="461.39"/>
    <n v="126.48"/>
    <n v="31"/>
    <x v="1"/>
    <s v="Debit Card"/>
  </r>
  <r>
    <n v="100248"/>
    <x v="357"/>
    <s v="AD-4974-B"/>
    <x v="6"/>
    <x v="1"/>
    <x v="4"/>
    <x v="1"/>
    <n v="2"/>
    <n v="200.02"/>
    <n v="20"/>
    <n v="320.02999999999997"/>
    <n v="104.93"/>
    <n v="21"/>
    <x v="0"/>
    <s v="Google Pay"/>
  </r>
  <r>
    <n v="100307"/>
    <x v="68"/>
    <s v="AD-4314-B"/>
    <x v="3"/>
    <x v="2"/>
    <x v="2"/>
    <x v="0"/>
    <n v="4"/>
    <n v="16.940000000000001"/>
    <n v="10"/>
    <n v="60.98"/>
    <n v="24.56"/>
    <n v="34"/>
    <x v="1"/>
    <s v="Apple Pay"/>
  </r>
  <r>
    <n v="100447"/>
    <x v="358"/>
    <s v="AD-1653-C"/>
    <x v="6"/>
    <x v="1"/>
    <x v="1"/>
    <x v="0"/>
    <n v="2"/>
    <n v="181.12"/>
    <n v="10"/>
    <n v="326.02"/>
    <n v="122.48"/>
    <n v="25"/>
    <x v="0"/>
    <s v="UPI"/>
  </r>
  <r>
    <n v="100346"/>
    <x v="291"/>
    <s v="AD-3248-D"/>
    <x v="0"/>
    <x v="0"/>
    <x v="2"/>
    <x v="1"/>
    <n v="4"/>
    <n v="55.74"/>
    <n v="5"/>
    <n v="211.81"/>
    <n v="64.92"/>
    <n v="35"/>
    <x v="1"/>
    <s v="Apple Pay"/>
  </r>
  <r>
    <n v="100334"/>
    <x v="359"/>
    <s v="AD-9515-D"/>
    <x v="15"/>
    <x v="1"/>
    <x v="4"/>
    <x v="0"/>
    <n v="1"/>
    <n v="150.91"/>
    <n v="0"/>
    <n v="150.91"/>
    <n v="33.19"/>
    <n v="27"/>
    <x v="1"/>
    <s v="UPI"/>
  </r>
  <r>
    <n v="100285"/>
    <x v="110"/>
    <s v="AD-4996-B"/>
    <x v="15"/>
    <x v="1"/>
    <x v="4"/>
    <x v="2"/>
    <n v="3"/>
    <n v="157.11000000000001"/>
    <n v="0"/>
    <n v="471.33"/>
    <n v="167.7"/>
    <n v="24"/>
    <x v="0"/>
    <s v="PayPal"/>
  </r>
  <r>
    <n v="100949"/>
    <x v="360"/>
    <s v="AD-5966-C"/>
    <x v="3"/>
    <x v="2"/>
    <x v="0"/>
    <x v="0"/>
    <n v="2"/>
    <n v="18"/>
    <n v="5"/>
    <n v="34.200000000000003"/>
    <n v="10.24"/>
    <n v="16"/>
    <x v="1"/>
    <s v="UPI"/>
  </r>
  <r>
    <n v="100097"/>
    <x v="283"/>
    <s v="AD-7325-B"/>
    <x v="12"/>
    <x v="0"/>
    <x v="0"/>
    <x v="0"/>
    <n v="3"/>
    <n v="124.51"/>
    <n v="20"/>
    <n v="298.82"/>
    <n v="84.17"/>
    <n v="31"/>
    <x v="0"/>
    <s v="Apple Pay"/>
  </r>
  <r>
    <n v="100467"/>
    <x v="361"/>
    <s v="AD-9423-B"/>
    <x v="10"/>
    <x v="2"/>
    <x v="1"/>
    <x v="0"/>
    <n v="1"/>
    <n v="44.94"/>
    <n v="10"/>
    <n v="40.450000000000003"/>
    <n v="11.95"/>
    <n v="41"/>
    <x v="1"/>
    <s v="PayPal"/>
  </r>
  <r>
    <n v="101036"/>
    <x v="362"/>
    <s v="AD-6751-D"/>
    <x v="15"/>
    <x v="1"/>
    <x v="0"/>
    <x v="0"/>
    <n v="5"/>
    <n v="165.79"/>
    <n v="0"/>
    <n v="828.95"/>
    <n v="257.41000000000003"/>
    <n v="29"/>
    <x v="1"/>
    <s v="NetBanking"/>
  </r>
  <r>
    <n v="100912"/>
    <x v="239"/>
    <s v="AD-8559-C"/>
    <x v="12"/>
    <x v="0"/>
    <x v="0"/>
    <x v="0"/>
    <n v="2"/>
    <n v="149.72999999999999"/>
    <n v="20"/>
    <n v="239.57"/>
    <n v="42.88"/>
    <n v="34"/>
    <x v="1"/>
    <s v="Google Pay"/>
  </r>
  <r>
    <n v="100755"/>
    <x v="263"/>
    <s v="AD-9779-B"/>
    <x v="13"/>
    <x v="0"/>
    <x v="4"/>
    <x v="3"/>
    <n v="3"/>
    <n v="140.63"/>
    <n v="20"/>
    <n v="337.51"/>
    <n v="104.97"/>
    <n v="28"/>
    <x v="1"/>
    <s v="Debit Card"/>
  </r>
  <r>
    <n v="100944"/>
    <x v="234"/>
    <s v="AD-6385-B"/>
    <x v="16"/>
    <x v="1"/>
    <x v="4"/>
    <x v="1"/>
    <n v="3"/>
    <n v="37.57"/>
    <n v="0"/>
    <n v="112.71"/>
    <n v="45.41"/>
    <n v="28"/>
    <x v="2"/>
    <s v="Google Pay"/>
  </r>
  <r>
    <n v="100613"/>
    <x v="363"/>
    <s v="AD-9579-C"/>
    <x v="6"/>
    <x v="1"/>
    <x v="2"/>
    <x v="0"/>
    <n v="1"/>
    <n v="169.09"/>
    <n v="0"/>
    <n v="169.09"/>
    <n v="60.62"/>
    <n v="31"/>
    <x v="1"/>
    <s v="Google Pay"/>
  </r>
  <r>
    <n v="100801"/>
    <x v="279"/>
    <s v="AD-8083-C"/>
    <x v="12"/>
    <x v="0"/>
    <x v="0"/>
    <x v="1"/>
    <n v="4"/>
    <n v="116.21"/>
    <n v="5"/>
    <n v="441.6"/>
    <n v="143.78"/>
    <n v="42"/>
    <x v="1"/>
    <s v="Google Pay"/>
  </r>
  <r>
    <n v="100757"/>
    <x v="4"/>
    <s v="AD-5945-C"/>
    <x v="2"/>
    <x v="1"/>
    <x v="1"/>
    <x v="0"/>
    <n v="3"/>
    <n v="91.85"/>
    <n v="0"/>
    <n v="275.55"/>
    <n v="101.54"/>
    <n v="16"/>
    <x v="1"/>
    <s v="Debit Card"/>
  </r>
  <r>
    <n v="100688"/>
    <x v="364"/>
    <s v="AD-5060-C"/>
    <x v="16"/>
    <x v="1"/>
    <x v="2"/>
    <x v="0"/>
    <n v="3"/>
    <n v="32.26"/>
    <n v="0"/>
    <n v="96.78"/>
    <n v="35.840000000000003"/>
    <n v="37"/>
    <x v="0"/>
    <s v="UPI"/>
  </r>
  <r>
    <n v="100065"/>
    <x v="365"/>
    <s v="AD-1672-C"/>
    <x v="5"/>
    <x v="0"/>
    <x v="0"/>
    <x v="2"/>
    <n v="5"/>
    <n v="67.33"/>
    <n v="10"/>
    <n v="302.99"/>
    <n v="90.49"/>
    <n v="41"/>
    <x v="0"/>
    <s v="Debit Card"/>
  </r>
  <r>
    <n v="100793"/>
    <x v="366"/>
    <s v="AD-1668-D"/>
    <x v="7"/>
    <x v="1"/>
    <x v="4"/>
    <x v="1"/>
    <n v="2"/>
    <n v="166.46"/>
    <n v="10"/>
    <n v="299.63"/>
    <n v="111.39"/>
    <n v="27"/>
    <x v="1"/>
    <s v="Google Pay"/>
  </r>
  <r>
    <n v="100743"/>
    <x v="195"/>
    <s v="AD-4781-B"/>
    <x v="10"/>
    <x v="2"/>
    <x v="0"/>
    <x v="0"/>
    <n v="4"/>
    <n v="50.43"/>
    <n v="40"/>
    <n v="121.03"/>
    <n v="27.97"/>
    <n v="30"/>
    <x v="1"/>
    <s v="Google Pay"/>
  </r>
  <r>
    <n v="100567"/>
    <x v="299"/>
    <s v="AD-1225-C"/>
    <x v="15"/>
    <x v="1"/>
    <x v="0"/>
    <x v="0"/>
    <n v="3"/>
    <n v="150.63999999999999"/>
    <n v="20"/>
    <n v="361.54"/>
    <n v="91.06"/>
    <n v="28"/>
    <x v="0"/>
    <s v="NetBanking"/>
  </r>
  <r>
    <n v="101083"/>
    <x v="367"/>
    <s v="AD-2527-C"/>
    <x v="17"/>
    <x v="2"/>
    <x v="0"/>
    <x v="1"/>
    <n v="4"/>
    <n v="38.86"/>
    <n v="0"/>
    <n v="155.44"/>
    <n v="56.27"/>
    <n v="46"/>
    <x v="1"/>
    <s v="Cash"/>
  </r>
  <r>
    <n v="101098"/>
    <x v="368"/>
    <s v="AD-7230-A"/>
    <x v="15"/>
    <x v="1"/>
    <x v="3"/>
    <x v="0"/>
    <n v="3"/>
    <n v="146.38999999999999"/>
    <n v="0"/>
    <n v="439.17"/>
    <n v="117.89"/>
    <n v="18"/>
    <x v="1"/>
    <s v="Credit Card"/>
  </r>
  <r>
    <n v="100302"/>
    <x v="369"/>
    <s v="AD-7786-D"/>
    <x v="13"/>
    <x v="0"/>
    <x v="0"/>
    <x v="1"/>
    <n v="2"/>
    <n v="119.21"/>
    <n v="0"/>
    <n v="238.42"/>
    <n v="54.9"/>
    <n v="26"/>
    <x v="1"/>
    <s v="NetBanking"/>
  </r>
  <r>
    <n v="100254"/>
    <x v="16"/>
    <s v="AD-7756-B"/>
    <x v="15"/>
    <x v="1"/>
    <x v="4"/>
    <x v="2"/>
    <n v="5"/>
    <n v="145.34"/>
    <n v="0"/>
    <n v="726.7"/>
    <n v="224.2"/>
    <n v="33"/>
    <x v="1"/>
    <s v="Credit Card"/>
  </r>
  <r>
    <n v="100958"/>
    <x v="370"/>
    <s v="AD-8462-B"/>
    <x v="11"/>
    <x v="0"/>
    <x v="0"/>
    <x v="1"/>
    <n v="4"/>
    <n v="29.68"/>
    <n v="0"/>
    <n v="118.72"/>
    <n v="36.94"/>
    <n v="18"/>
    <x v="0"/>
    <s v="NetBanking"/>
  </r>
  <r>
    <n v="101023"/>
    <x v="329"/>
    <s v="AD-6382-C"/>
    <x v="3"/>
    <x v="2"/>
    <x v="2"/>
    <x v="0"/>
    <n v="4"/>
    <n v="17.71"/>
    <n v="0"/>
    <n v="70.84"/>
    <n v="13.62"/>
    <n v="29"/>
    <x v="1"/>
    <s v="Google Pay"/>
  </r>
  <r>
    <n v="100312"/>
    <x v="269"/>
    <s v="AD-3340-A"/>
    <x v="13"/>
    <x v="0"/>
    <x v="4"/>
    <x v="0"/>
    <n v="6"/>
    <n v="120.23"/>
    <n v="5"/>
    <n v="685.31"/>
    <n v="249.96"/>
    <n v="28"/>
    <x v="0"/>
    <s v="PayPal"/>
  </r>
  <r>
    <n v="100529"/>
    <x v="371"/>
    <s v="AD-5622-C"/>
    <x v="13"/>
    <x v="0"/>
    <x v="4"/>
    <x v="1"/>
    <n v="2"/>
    <n v="101.14"/>
    <n v="10"/>
    <n v="182.05"/>
    <n v="53.84"/>
    <n v="19"/>
    <x v="1"/>
    <s v="Debit Card"/>
  </r>
  <r>
    <n v="100221"/>
    <x v="199"/>
    <s v="AD-5662-D"/>
    <x v="0"/>
    <x v="0"/>
    <x v="4"/>
    <x v="1"/>
    <n v="7"/>
    <n v="46.97"/>
    <n v="0"/>
    <n v="328.79"/>
    <n v="107.03"/>
    <n v="32"/>
    <x v="1"/>
    <s v="Cash"/>
  </r>
  <r>
    <n v="100388"/>
    <x v="291"/>
    <s v="AD-5511-D"/>
    <x v="7"/>
    <x v="1"/>
    <x v="4"/>
    <x v="0"/>
    <n v="2"/>
    <n v="180.08"/>
    <n v="0"/>
    <n v="360.16"/>
    <n v="84.13"/>
    <n v="34"/>
    <x v="0"/>
    <s v="NetBanking"/>
  </r>
  <r>
    <n v="100235"/>
    <x v="372"/>
    <s v="AD-6697-A"/>
    <x v="12"/>
    <x v="0"/>
    <x v="2"/>
    <x v="0"/>
    <n v="4"/>
    <n v="118.57"/>
    <n v="5"/>
    <n v="450.57"/>
    <n v="134.34"/>
    <n v="25"/>
    <x v="1"/>
    <s v="PayPal"/>
  </r>
  <r>
    <n v="100809"/>
    <x v="70"/>
    <s v="AD-4458-B"/>
    <x v="3"/>
    <x v="2"/>
    <x v="4"/>
    <x v="3"/>
    <n v="1"/>
    <n v="17.52"/>
    <n v="0"/>
    <n v="17.52"/>
    <n v="3.67"/>
    <n v="22"/>
    <x v="0"/>
    <s v="PayPal"/>
  </r>
  <r>
    <n v="100482"/>
    <x v="373"/>
    <s v="AD-6742-A"/>
    <x v="15"/>
    <x v="1"/>
    <x v="1"/>
    <x v="3"/>
    <n v="3"/>
    <n v="181.45"/>
    <n v="0"/>
    <n v="544.35"/>
    <n v="133.04"/>
    <n v="39"/>
    <x v="1"/>
    <s v="Apple Pay"/>
  </r>
  <r>
    <n v="100712"/>
    <x v="374"/>
    <s v="AD-4185-D"/>
    <x v="2"/>
    <x v="1"/>
    <x v="1"/>
    <x v="1"/>
    <n v="1"/>
    <n v="96.24"/>
    <n v="0"/>
    <n v="96.24"/>
    <n v="23.12"/>
    <n v="19"/>
    <x v="1"/>
    <s v="Apple Pay"/>
  </r>
  <r>
    <n v="100305"/>
    <x v="375"/>
    <s v="AD-5646-C"/>
    <x v="8"/>
    <x v="2"/>
    <x v="3"/>
    <x v="2"/>
    <n v="3"/>
    <n v="13.86"/>
    <n v="5"/>
    <n v="39.5"/>
    <n v="12.04"/>
    <n v="34"/>
    <x v="1"/>
    <s v="Cash"/>
  </r>
  <r>
    <n v="101110"/>
    <x v="50"/>
    <s v="AD-8276-A"/>
    <x v="18"/>
    <x v="1"/>
    <x v="4"/>
    <x v="3"/>
    <n v="1"/>
    <n v="93.52"/>
    <n v="10"/>
    <n v="84.17"/>
    <n v="25.93"/>
    <n v="31"/>
    <x v="1"/>
    <s v="Debit Card"/>
  </r>
  <r>
    <n v="101089"/>
    <x v="172"/>
    <s v="AD-3336-C"/>
    <x v="19"/>
    <x v="1"/>
    <x v="4"/>
    <x v="1"/>
    <n v="1"/>
    <n v="132.69999999999999"/>
    <n v="10"/>
    <n v="119.43"/>
    <n v="21.29"/>
    <n v="35"/>
    <x v="1"/>
    <s v="Credit Card"/>
  </r>
  <r>
    <n v="100771"/>
    <x v="87"/>
    <s v="AD-9763-B"/>
    <x v="12"/>
    <x v="0"/>
    <x v="3"/>
    <x v="0"/>
    <n v="1"/>
    <n v="121.17"/>
    <n v="5"/>
    <n v="115.11"/>
    <n v="38.85"/>
    <n v="31"/>
    <x v="0"/>
    <s v="Debit Card"/>
  </r>
  <r>
    <n v="100916"/>
    <x v="376"/>
    <s v="AD-7247-B"/>
    <x v="15"/>
    <x v="1"/>
    <x v="4"/>
    <x v="3"/>
    <n v="1"/>
    <n v="152.72999999999999"/>
    <n v="0"/>
    <n v="152.72999999999999"/>
    <n v="50.68"/>
    <n v="21"/>
    <x v="1"/>
    <s v="Apple Pay"/>
  </r>
  <r>
    <n v="101138"/>
    <x v="377"/>
    <s v="AD-1606-A"/>
    <x v="17"/>
    <x v="2"/>
    <x v="2"/>
    <x v="0"/>
    <n v="1"/>
    <n v="35.72"/>
    <n v="0"/>
    <n v="35.72"/>
    <n v="15.13"/>
    <n v="30"/>
    <x v="0"/>
    <s v="Apple Pay"/>
  </r>
  <r>
    <n v="100249"/>
    <x v="378"/>
    <s v="AD-6053-C"/>
    <x v="5"/>
    <x v="0"/>
    <x v="0"/>
    <x v="0"/>
    <n v="2"/>
    <n v="68.290000000000006"/>
    <n v="0"/>
    <n v="136.58000000000001"/>
    <n v="38.71"/>
    <n v="34"/>
    <x v="1"/>
    <s v="Cash"/>
  </r>
  <r>
    <n v="100759"/>
    <x v="43"/>
    <s v="AD-1981-B"/>
    <x v="9"/>
    <x v="2"/>
    <x v="3"/>
    <x v="1"/>
    <n v="5"/>
    <n v="22.79"/>
    <n v="20"/>
    <n v="91.16"/>
    <n v="27.55"/>
    <n v="23"/>
    <x v="1"/>
    <s v="Apple Pay"/>
  </r>
  <r>
    <n v="100594"/>
    <x v="379"/>
    <s v="AD-9084-B"/>
    <x v="19"/>
    <x v="1"/>
    <x v="4"/>
    <x v="1"/>
    <n v="2"/>
    <n v="119.58"/>
    <n v="0"/>
    <n v="239.16"/>
    <n v="62.75"/>
    <n v="37"/>
    <x v="1"/>
    <s v="Credit Card"/>
  </r>
  <r>
    <n v="100071"/>
    <x v="367"/>
    <s v="AD-8342-A"/>
    <x v="5"/>
    <x v="0"/>
    <x v="1"/>
    <x v="1"/>
    <n v="2"/>
    <n v="80.17"/>
    <n v="0"/>
    <n v="160.34"/>
    <n v="43.83"/>
    <n v="37"/>
    <x v="0"/>
    <s v="Google Pay"/>
  </r>
  <r>
    <n v="100094"/>
    <x v="72"/>
    <s v="AD-2143-C"/>
    <x v="9"/>
    <x v="2"/>
    <x v="4"/>
    <x v="1"/>
    <n v="2"/>
    <n v="20.13"/>
    <n v="0"/>
    <n v="40.26"/>
    <n v="11.44"/>
    <n v="31"/>
    <x v="1"/>
    <s v="PayPal"/>
  </r>
  <r>
    <n v="100545"/>
    <x v="380"/>
    <s v="AD-7366-D"/>
    <x v="14"/>
    <x v="1"/>
    <x v="4"/>
    <x v="0"/>
    <n v="2"/>
    <n v="222.43"/>
    <n v="20"/>
    <n v="355.89"/>
    <n v="115.76"/>
    <n v="31"/>
    <x v="1"/>
    <s v="Credit Card"/>
  </r>
  <r>
    <n v="100033"/>
    <x v="381"/>
    <s v="AD-4450-C"/>
    <x v="14"/>
    <x v="1"/>
    <x v="2"/>
    <x v="1"/>
    <n v="2"/>
    <n v="204.91"/>
    <n v="40"/>
    <n v="245.89"/>
    <n v="60.6"/>
    <n v="33"/>
    <x v="1"/>
    <s v="NetBanking"/>
  </r>
  <r>
    <n v="100861"/>
    <x v="184"/>
    <s v="AD-5409-A"/>
    <x v="3"/>
    <x v="2"/>
    <x v="4"/>
    <x v="0"/>
    <n v="1"/>
    <n v="16.010000000000002"/>
    <n v="0"/>
    <n v="16.010000000000002"/>
    <n v="5.89"/>
    <n v="16"/>
    <x v="0"/>
    <s v="Credit Card"/>
  </r>
  <r>
    <n v="100578"/>
    <x v="382"/>
    <s v="AD-8046-B"/>
    <x v="8"/>
    <x v="2"/>
    <x v="4"/>
    <x v="0"/>
    <n v="2"/>
    <n v="16.98"/>
    <n v="0"/>
    <n v="33.96"/>
    <n v="13.75"/>
    <n v="19"/>
    <x v="0"/>
    <s v="PayPal"/>
  </r>
  <r>
    <n v="100448"/>
    <x v="383"/>
    <s v="AD-9426-D"/>
    <x v="18"/>
    <x v="1"/>
    <x v="1"/>
    <x v="0"/>
    <n v="3"/>
    <n v="80.63"/>
    <n v="5"/>
    <n v="229.8"/>
    <n v="88.49"/>
    <n v="29"/>
    <x v="0"/>
    <s v="Cash"/>
  </r>
  <r>
    <n v="100445"/>
    <x v="384"/>
    <s v="AD-7814-D"/>
    <x v="13"/>
    <x v="0"/>
    <x v="3"/>
    <x v="1"/>
    <n v="4"/>
    <n v="118.53"/>
    <n v="0"/>
    <n v="474.12"/>
    <n v="176"/>
    <n v="26"/>
    <x v="0"/>
    <s v="PayPal"/>
  </r>
  <r>
    <n v="100259"/>
    <x v="385"/>
    <s v="AD-3807-A"/>
    <x v="15"/>
    <x v="1"/>
    <x v="1"/>
    <x v="1"/>
    <n v="4"/>
    <n v="149.63"/>
    <n v="10"/>
    <n v="538.66999999999996"/>
    <n v="129.47"/>
    <n v="29"/>
    <x v="1"/>
    <s v="Credit Card"/>
  </r>
  <r>
    <n v="100204"/>
    <x v="386"/>
    <s v="AD-9341-D"/>
    <x v="11"/>
    <x v="0"/>
    <x v="1"/>
    <x v="3"/>
    <n v="3"/>
    <n v="29.38"/>
    <n v="0"/>
    <n v="88.14"/>
    <n v="31.2"/>
    <n v="27"/>
    <x v="0"/>
    <s v="UPI"/>
  </r>
  <r>
    <n v="100572"/>
    <x v="387"/>
    <s v="AD-4054-B"/>
    <x v="12"/>
    <x v="0"/>
    <x v="0"/>
    <x v="2"/>
    <n v="4"/>
    <n v="123.04"/>
    <n v="0"/>
    <n v="492.16"/>
    <n v="147.30000000000001"/>
    <n v="31"/>
    <x v="1"/>
    <s v="Debit Card"/>
  </r>
  <r>
    <n v="100823"/>
    <x v="357"/>
    <s v="AD-3598-B"/>
    <x v="5"/>
    <x v="0"/>
    <x v="4"/>
    <x v="0"/>
    <n v="4"/>
    <n v="75.3"/>
    <n v="20"/>
    <n v="240.96"/>
    <n v="72.11"/>
    <n v="28"/>
    <x v="0"/>
    <s v="Cash"/>
  </r>
  <r>
    <n v="100585"/>
    <x v="388"/>
    <s v="AD-7457-A"/>
    <x v="5"/>
    <x v="0"/>
    <x v="0"/>
    <x v="1"/>
    <n v="1"/>
    <n v="75.63"/>
    <n v="5"/>
    <n v="71.849999999999994"/>
    <n v="12.65"/>
    <n v="41"/>
    <x v="0"/>
    <s v="Cash"/>
  </r>
  <r>
    <n v="100365"/>
    <x v="389"/>
    <s v="AD-5612-C"/>
    <x v="18"/>
    <x v="1"/>
    <x v="3"/>
    <x v="0"/>
    <n v="5"/>
    <n v="74.78"/>
    <n v="5"/>
    <n v="355.2"/>
    <n v="100.14"/>
    <n v="32"/>
    <x v="0"/>
    <s v="NetBanking"/>
  </r>
  <r>
    <n v="100811"/>
    <x v="216"/>
    <s v="AD-5961-C"/>
    <x v="9"/>
    <x v="2"/>
    <x v="1"/>
    <x v="1"/>
    <n v="4"/>
    <n v="21.29"/>
    <n v="5"/>
    <n v="80.900000000000006"/>
    <n v="30.97"/>
    <n v="31"/>
    <x v="0"/>
    <s v="Google Pay"/>
  </r>
  <r>
    <n v="100077"/>
    <x v="390"/>
    <s v="AD-2869-A"/>
    <x v="0"/>
    <x v="0"/>
    <x v="1"/>
    <x v="0"/>
    <n v="1"/>
    <n v="52.36"/>
    <n v="5"/>
    <n v="49.74"/>
    <n v="14.7"/>
    <n v="32"/>
    <x v="1"/>
    <s v="Google Pay"/>
  </r>
  <r>
    <n v="100084"/>
    <x v="348"/>
    <s v="AD-5982-D"/>
    <x v="0"/>
    <x v="0"/>
    <x v="0"/>
    <x v="3"/>
    <n v="3"/>
    <n v="56.69"/>
    <n v="0"/>
    <n v="170.07"/>
    <n v="47.29"/>
    <n v="29"/>
    <x v="1"/>
    <s v="Google Pay"/>
  </r>
  <r>
    <n v="100538"/>
    <x v="282"/>
    <s v="AD-8992-B"/>
    <x v="15"/>
    <x v="1"/>
    <x v="0"/>
    <x v="1"/>
    <n v="4"/>
    <n v="153.51"/>
    <n v="10"/>
    <n v="552.64"/>
    <n v="160.62"/>
    <n v="16"/>
    <x v="0"/>
    <s v="PayPal"/>
  </r>
  <r>
    <n v="100082"/>
    <x v="391"/>
    <s v="AD-5334-B"/>
    <x v="5"/>
    <x v="0"/>
    <x v="4"/>
    <x v="2"/>
    <n v="4"/>
    <n v="74.959999999999994"/>
    <n v="5"/>
    <n v="284.85000000000002"/>
    <n v="77.42"/>
    <n v="37"/>
    <x v="1"/>
    <s v="UPI"/>
  </r>
  <r>
    <n v="100457"/>
    <x v="240"/>
    <s v="AD-4469-D"/>
    <x v="8"/>
    <x v="2"/>
    <x v="1"/>
    <x v="1"/>
    <n v="4"/>
    <n v="14.83"/>
    <n v="0"/>
    <n v="59.32"/>
    <n v="26.54"/>
    <n v="26"/>
    <x v="0"/>
    <s v="Cash"/>
  </r>
  <r>
    <n v="101137"/>
    <x v="392"/>
    <s v="AD-5670-A"/>
    <x v="18"/>
    <x v="1"/>
    <x v="4"/>
    <x v="0"/>
    <n v="5"/>
    <n v="88.63"/>
    <n v="10"/>
    <n v="398.83"/>
    <n v="94.16"/>
    <n v="22"/>
    <x v="1"/>
    <s v="Credit Card"/>
  </r>
  <r>
    <n v="100614"/>
    <x v="132"/>
    <s v="AD-4361-A"/>
    <x v="13"/>
    <x v="0"/>
    <x v="2"/>
    <x v="2"/>
    <n v="2"/>
    <n v="120.76"/>
    <n v="10"/>
    <n v="217.37"/>
    <n v="68.09"/>
    <n v="16"/>
    <x v="0"/>
    <s v="PayPal"/>
  </r>
  <r>
    <n v="101185"/>
    <x v="393"/>
    <s v="AD-4027-B"/>
    <x v="19"/>
    <x v="1"/>
    <x v="2"/>
    <x v="1"/>
    <n v="3"/>
    <n v="142.61000000000001"/>
    <n v="0"/>
    <n v="427.83"/>
    <n v="125.1"/>
    <n v="42"/>
    <x v="1"/>
    <s v="Credit Card"/>
  </r>
  <r>
    <n v="101075"/>
    <x v="394"/>
    <s v="AD-8274-A"/>
    <x v="14"/>
    <x v="1"/>
    <x v="0"/>
    <x v="0"/>
    <n v="2"/>
    <n v="244.85"/>
    <n v="0"/>
    <n v="489.7"/>
    <n v="155.19"/>
    <n v="22"/>
    <x v="1"/>
    <s v="Cash"/>
  </r>
  <r>
    <n v="100736"/>
    <x v="164"/>
    <s v="AD-9123-C"/>
    <x v="5"/>
    <x v="0"/>
    <x v="0"/>
    <x v="0"/>
    <n v="4"/>
    <n v="72.12"/>
    <n v="5"/>
    <n v="274.06"/>
    <n v="96.97"/>
    <n v="34"/>
    <x v="1"/>
    <s v="PayPal"/>
  </r>
  <r>
    <n v="100436"/>
    <x v="315"/>
    <s v="AD-9747-C"/>
    <x v="18"/>
    <x v="1"/>
    <x v="0"/>
    <x v="1"/>
    <n v="3"/>
    <n v="89.53"/>
    <n v="0"/>
    <n v="268.58999999999997"/>
    <n v="86.24"/>
    <n v="19"/>
    <x v="0"/>
    <s v="Apple Pay"/>
  </r>
  <r>
    <n v="100554"/>
    <x v="395"/>
    <s v="AD-4519-C"/>
    <x v="19"/>
    <x v="1"/>
    <x v="4"/>
    <x v="2"/>
    <n v="3"/>
    <n v="111.07"/>
    <n v="10"/>
    <n v="299.89"/>
    <n v="94.02"/>
    <n v="20"/>
    <x v="1"/>
    <s v="UPI"/>
  </r>
  <r>
    <n v="101079"/>
    <x v="175"/>
    <s v="AD-8821-C"/>
    <x v="12"/>
    <x v="0"/>
    <x v="0"/>
    <x v="1"/>
    <n v="2"/>
    <n v="134.26"/>
    <n v="20"/>
    <n v="214.82"/>
    <n v="72.61"/>
    <n v="24"/>
    <x v="0"/>
    <s v="Google Pay"/>
  </r>
  <r>
    <n v="101061"/>
    <x v="254"/>
    <s v="AD-2841-D"/>
    <x v="12"/>
    <x v="0"/>
    <x v="0"/>
    <x v="0"/>
    <n v="4"/>
    <n v="113.25"/>
    <n v="10"/>
    <n v="407.7"/>
    <n v="125.19"/>
    <n v="26"/>
    <x v="0"/>
    <s v="Apple Pay"/>
  </r>
  <r>
    <n v="100350"/>
    <x v="396"/>
    <s v="AD-7363-C"/>
    <x v="5"/>
    <x v="0"/>
    <x v="0"/>
    <x v="2"/>
    <n v="6"/>
    <n v="75.599999999999994"/>
    <n v="40"/>
    <n v="272.16000000000003"/>
    <n v="65.25"/>
    <n v="36"/>
    <x v="1"/>
    <s v="UPI"/>
  </r>
  <r>
    <n v="100196"/>
    <x v="384"/>
    <s v="AD-6121-C"/>
    <x v="15"/>
    <x v="1"/>
    <x v="1"/>
    <x v="1"/>
    <n v="3"/>
    <n v="161.19"/>
    <n v="20"/>
    <n v="386.86"/>
    <n v="132.94999999999999"/>
    <n v="31"/>
    <x v="1"/>
    <s v="PayPal"/>
  </r>
  <r>
    <n v="100464"/>
    <x v="397"/>
    <s v="AD-2235-A"/>
    <x v="1"/>
    <x v="0"/>
    <x v="4"/>
    <x v="1"/>
    <n v="3"/>
    <n v="27.21"/>
    <n v="0"/>
    <n v="81.63"/>
    <n v="26"/>
    <n v="25"/>
    <x v="1"/>
    <s v="Debit Card"/>
  </r>
  <r>
    <n v="100588"/>
    <x v="398"/>
    <s v="AD-2481-A"/>
    <x v="0"/>
    <x v="0"/>
    <x v="4"/>
    <x v="1"/>
    <n v="4"/>
    <n v="52.4"/>
    <n v="0"/>
    <n v="209.6"/>
    <n v="66.930000000000007"/>
    <n v="16"/>
    <x v="1"/>
    <s v="Google Pay"/>
  </r>
  <r>
    <n v="100005"/>
    <x v="399"/>
    <s v="AD-5554-D"/>
    <x v="5"/>
    <x v="0"/>
    <x v="3"/>
    <x v="2"/>
    <n v="1"/>
    <n v="72.099999999999994"/>
    <n v="0"/>
    <n v="72.099999999999994"/>
    <n v="17.59"/>
    <n v="37"/>
    <x v="0"/>
    <s v="Apple Pay"/>
  </r>
  <r>
    <n v="100310"/>
    <x v="400"/>
    <s v="AD-1132-C"/>
    <x v="16"/>
    <x v="1"/>
    <x v="4"/>
    <x v="0"/>
    <n v="5"/>
    <n v="36.36"/>
    <n v="5"/>
    <n v="172.71"/>
    <n v="44.5"/>
    <n v="25"/>
    <x v="0"/>
    <s v="Credit Card"/>
  </r>
  <r>
    <n v="100661"/>
    <x v="401"/>
    <s v="AD-9444-D"/>
    <x v="15"/>
    <x v="1"/>
    <x v="4"/>
    <x v="1"/>
    <n v="3"/>
    <n v="142.51"/>
    <n v="0"/>
    <n v="427.53"/>
    <n v="157.68"/>
    <n v="32"/>
    <x v="0"/>
    <s v="Credit Card"/>
  </r>
  <r>
    <n v="100404"/>
    <x v="402"/>
    <s v="AD-8105-B"/>
    <x v="15"/>
    <x v="1"/>
    <x v="4"/>
    <x v="1"/>
    <n v="2"/>
    <n v="147.32"/>
    <n v="5"/>
    <n v="279.91000000000003"/>
    <n v="104.82"/>
    <n v="29"/>
    <x v="0"/>
    <s v="Cash"/>
  </r>
  <r>
    <n v="101195"/>
    <x v="403"/>
    <s v="AD-6261-A"/>
    <x v="2"/>
    <x v="1"/>
    <x v="1"/>
    <x v="1"/>
    <n v="2"/>
    <n v="77.510000000000005"/>
    <n v="5"/>
    <n v="147.27000000000001"/>
    <n v="42.27"/>
    <n v="28"/>
    <x v="1"/>
    <s v="PayPal"/>
  </r>
  <r>
    <n v="101043"/>
    <x v="404"/>
    <s v="AD-3735-C"/>
    <x v="18"/>
    <x v="1"/>
    <x v="4"/>
    <x v="0"/>
    <n v="2"/>
    <n v="84.94"/>
    <n v="0"/>
    <n v="169.88"/>
    <n v="67.75"/>
    <n v="21"/>
    <x v="0"/>
    <s v="Credit Card"/>
  </r>
  <r>
    <n v="101057"/>
    <x v="405"/>
    <s v="AD-2742-C"/>
    <x v="2"/>
    <x v="1"/>
    <x v="3"/>
    <x v="1"/>
    <n v="3"/>
    <n v="85.71"/>
    <n v="40"/>
    <n v="154.28"/>
    <n v="45.27"/>
    <n v="39"/>
    <x v="0"/>
    <s v="Credit Card"/>
  </r>
  <r>
    <n v="100104"/>
    <x v="406"/>
    <s v="AD-5161-D"/>
    <x v="12"/>
    <x v="0"/>
    <x v="4"/>
    <x v="2"/>
    <n v="1"/>
    <n v="138.34"/>
    <n v="0"/>
    <n v="138.34"/>
    <n v="35.35"/>
    <n v="38"/>
    <x v="1"/>
    <s v="Google Pay"/>
  </r>
  <r>
    <n v="100536"/>
    <x v="89"/>
    <s v="AD-1146-A"/>
    <x v="4"/>
    <x v="2"/>
    <x v="4"/>
    <x v="0"/>
    <n v="2"/>
    <n v="66.5"/>
    <n v="5"/>
    <n v="126.35"/>
    <n v="47.79"/>
    <n v="24"/>
    <x v="1"/>
    <s v="UPI"/>
  </r>
  <r>
    <n v="100605"/>
    <x v="407"/>
    <s v="AD-5919-C"/>
    <x v="16"/>
    <x v="1"/>
    <x v="4"/>
    <x v="0"/>
    <n v="1"/>
    <n v="34.1"/>
    <n v="10"/>
    <n v="30.69"/>
    <n v="7.56"/>
    <n v="45"/>
    <x v="0"/>
    <s v="NetBanking"/>
  </r>
  <r>
    <n v="100062"/>
    <x v="78"/>
    <s v="AD-8758-A"/>
    <x v="6"/>
    <x v="1"/>
    <x v="4"/>
    <x v="0"/>
    <n v="3"/>
    <n v="149.9"/>
    <n v="0"/>
    <n v="449.7"/>
    <n v="174.72"/>
    <n v="33"/>
    <x v="1"/>
    <s v="PayPal"/>
  </r>
  <r>
    <n v="100281"/>
    <x v="408"/>
    <s v="AD-8303-C"/>
    <x v="6"/>
    <x v="1"/>
    <x v="4"/>
    <x v="1"/>
    <n v="4"/>
    <n v="174.63"/>
    <n v="10"/>
    <n v="628.66999999999996"/>
    <n v="195.66"/>
    <n v="37"/>
    <x v="0"/>
    <s v="UPI"/>
  </r>
  <r>
    <n v="101055"/>
    <x v="409"/>
    <s v="AD-9630-B"/>
    <x v="14"/>
    <x v="1"/>
    <x v="4"/>
    <x v="2"/>
    <n v="1"/>
    <n v="230.24"/>
    <n v="10"/>
    <n v="207.22"/>
    <n v="70.31"/>
    <n v="25"/>
    <x v="0"/>
    <s v="Debit Card"/>
  </r>
  <r>
    <n v="100238"/>
    <x v="199"/>
    <s v="AD-4943-B"/>
    <x v="18"/>
    <x v="1"/>
    <x v="0"/>
    <x v="1"/>
    <n v="4"/>
    <n v="86.59"/>
    <n v="10"/>
    <n v="311.72000000000003"/>
    <n v="69.27"/>
    <n v="39"/>
    <x v="0"/>
    <s v="Credit Card"/>
  </r>
  <r>
    <n v="100223"/>
    <x v="410"/>
    <s v="AD-5833-B"/>
    <x v="7"/>
    <x v="1"/>
    <x v="0"/>
    <x v="1"/>
    <n v="1"/>
    <n v="167.08"/>
    <n v="0"/>
    <n v="167.08"/>
    <n v="35.979999999999997"/>
    <n v="29"/>
    <x v="1"/>
    <s v="Cash"/>
  </r>
  <r>
    <n v="100145"/>
    <x v="411"/>
    <s v="AD-6752-B"/>
    <x v="7"/>
    <x v="1"/>
    <x v="0"/>
    <x v="1"/>
    <n v="4"/>
    <n v="155.71"/>
    <n v="10"/>
    <n v="560.55999999999995"/>
    <n v="182.17"/>
    <n v="34"/>
    <x v="1"/>
    <s v="Cash"/>
  </r>
  <r>
    <n v="101118"/>
    <x v="412"/>
    <s v="AD-9907-A"/>
    <x v="2"/>
    <x v="1"/>
    <x v="1"/>
    <x v="1"/>
    <n v="5"/>
    <n v="95.27"/>
    <n v="10"/>
    <n v="428.71"/>
    <n v="99.13"/>
    <n v="30"/>
    <x v="0"/>
    <s v="Credit Card"/>
  </r>
  <r>
    <n v="100373"/>
    <x v="413"/>
    <s v="AD-4308-B"/>
    <x v="7"/>
    <x v="1"/>
    <x v="0"/>
    <x v="0"/>
    <n v="1"/>
    <n v="170.96"/>
    <n v="0"/>
    <n v="170.96"/>
    <n v="57.49"/>
    <n v="34"/>
    <x v="1"/>
    <s v="Apple Pay"/>
  </r>
  <r>
    <n v="100118"/>
    <x v="107"/>
    <s v="AD-4559-D"/>
    <x v="18"/>
    <x v="1"/>
    <x v="0"/>
    <x v="3"/>
    <n v="7"/>
    <n v="83.62"/>
    <n v="0"/>
    <n v="585.34"/>
    <n v="176.98"/>
    <n v="45"/>
    <x v="1"/>
    <s v="Cash"/>
  </r>
  <r>
    <n v="100802"/>
    <x v="414"/>
    <s v="AD-8298-D"/>
    <x v="19"/>
    <x v="1"/>
    <x v="0"/>
    <x v="2"/>
    <n v="1"/>
    <n v="132.72999999999999"/>
    <n v="10"/>
    <n v="119.46"/>
    <n v="32.19"/>
    <n v="42"/>
    <x v="1"/>
    <s v="Google Pay"/>
  </r>
  <r>
    <n v="100250"/>
    <x v="415"/>
    <s v="AD-4328-C"/>
    <x v="10"/>
    <x v="2"/>
    <x v="1"/>
    <x v="2"/>
    <n v="3"/>
    <n v="44.75"/>
    <n v="0"/>
    <n v="134.25"/>
    <n v="48.87"/>
    <n v="32"/>
    <x v="0"/>
    <s v="Cash"/>
  </r>
  <r>
    <n v="101156"/>
    <x v="281"/>
    <s v="AD-5395-D"/>
    <x v="5"/>
    <x v="0"/>
    <x v="0"/>
    <x v="0"/>
    <n v="4"/>
    <n v="62.99"/>
    <n v="0"/>
    <n v="251.96"/>
    <n v="47.38"/>
    <n v="28"/>
    <x v="1"/>
    <s v="UPI"/>
  </r>
  <r>
    <n v="100009"/>
    <x v="125"/>
    <s v="AD-7543-C"/>
    <x v="3"/>
    <x v="2"/>
    <x v="4"/>
    <x v="1"/>
    <n v="3"/>
    <n v="15.72"/>
    <n v="10"/>
    <n v="42.44"/>
    <n v="15.03"/>
    <n v="16"/>
    <x v="1"/>
    <s v="Apple Pay"/>
  </r>
  <r>
    <n v="100449"/>
    <x v="416"/>
    <s v="AD-3742-A"/>
    <x v="15"/>
    <x v="1"/>
    <x v="0"/>
    <x v="0"/>
    <n v="2"/>
    <n v="132.6"/>
    <n v="5"/>
    <n v="251.94"/>
    <n v="78.19"/>
    <n v="30"/>
    <x v="1"/>
    <s v="Debit Card"/>
  </r>
  <r>
    <n v="100873"/>
    <x v="417"/>
    <s v="AD-1602-C"/>
    <x v="19"/>
    <x v="1"/>
    <x v="0"/>
    <x v="0"/>
    <n v="5"/>
    <n v="117.95"/>
    <n v="0"/>
    <n v="589.75"/>
    <n v="196.16"/>
    <n v="16"/>
    <x v="2"/>
    <s v="Cash"/>
  </r>
  <r>
    <n v="100389"/>
    <x v="418"/>
    <s v="AD-2676-A"/>
    <x v="12"/>
    <x v="0"/>
    <x v="1"/>
    <x v="0"/>
    <n v="6"/>
    <n v="130.86000000000001"/>
    <n v="0"/>
    <n v="785.16"/>
    <n v="229.42"/>
    <n v="27"/>
    <x v="1"/>
    <s v="Apple Pay"/>
  </r>
  <r>
    <n v="100965"/>
    <x v="419"/>
    <s v="AD-8220-A"/>
    <x v="16"/>
    <x v="1"/>
    <x v="4"/>
    <x v="1"/>
    <n v="5"/>
    <n v="34.409999999999997"/>
    <n v="10"/>
    <n v="154.84"/>
    <n v="46.15"/>
    <n v="16"/>
    <x v="1"/>
    <s v="Apple Pay"/>
  </r>
  <r>
    <n v="100460"/>
    <x v="420"/>
    <s v="AD-4170-C"/>
    <x v="13"/>
    <x v="0"/>
    <x v="0"/>
    <x v="0"/>
    <n v="3"/>
    <n v="136.37"/>
    <n v="5"/>
    <n v="388.65"/>
    <n v="101.81"/>
    <n v="33"/>
    <x v="1"/>
    <s v="Debit Card"/>
  </r>
  <r>
    <n v="101146"/>
    <x v="97"/>
    <s v="AD-2278-A"/>
    <x v="0"/>
    <x v="0"/>
    <x v="1"/>
    <x v="2"/>
    <n v="5"/>
    <n v="48.25"/>
    <n v="0"/>
    <n v="241.25"/>
    <n v="60.99"/>
    <n v="23"/>
    <x v="1"/>
    <s v="UPI"/>
  </r>
  <r>
    <n v="100144"/>
    <x v="421"/>
    <s v="AD-6562-B"/>
    <x v="18"/>
    <x v="1"/>
    <x v="0"/>
    <x v="1"/>
    <n v="3"/>
    <n v="102.41"/>
    <n v="20"/>
    <n v="245.78"/>
    <n v="72.55"/>
    <n v="31"/>
    <x v="1"/>
    <s v="NetBanking"/>
  </r>
  <r>
    <n v="100501"/>
    <x v="422"/>
    <s v="AD-6833-B"/>
    <x v="16"/>
    <x v="1"/>
    <x v="4"/>
    <x v="0"/>
    <n v="2"/>
    <n v="36.380000000000003"/>
    <n v="20"/>
    <n v="58.21"/>
    <n v="13.87"/>
    <n v="39"/>
    <x v="1"/>
    <s v="UPI"/>
  </r>
  <r>
    <n v="101107"/>
    <x v="304"/>
    <s v="AD-7783-D"/>
    <x v="0"/>
    <x v="0"/>
    <x v="1"/>
    <x v="2"/>
    <n v="2"/>
    <n v="59.66"/>
    <n v="0"/>
    <n v="119.32"/>
    <n v="32.15"/>
    <n v="16"/>
    <x v="0"/>
    <s v="Google Pay"/>
  </r>
  <r>
    <n v="100539"/>
    <x v="423"/>
    <s v="AD-1349-D"/>
    <x v="8"/>
    <x v="2"/>
    <x v="0"/>
    <x v="2"/>
    <n v="6"/>
    <n v="14.4"/>
    <n v="0"/>
    <n v="86.4"/>
    <n v="29.37"/>
    <n v="16"/>
    <x v="1"/>
    <s v="UPI"/>
  </r>
  <r>
    <n v="100177"/>
    <x v="421"/>
    <s v="AD-9151-C"/>
    <x v="12"/>
    <x v="0"/>
    <x v="2"/>
    <x v="0"/>
    <n v="3"/>
    <n v="138.01"/>
    <n v="0"/>
    <n v="414.03"/>
    <n v="121.98"/>
    <n v="25"/>
    <x v="0"/>
    <s v="Google Pay"/>
  </r>
  <r>
    <n v="101158"/>
    <x v="73"/>
    <s v="AD-2137-B"/>
    <x v="19"/>
    <x v="1"/>
    <x v="1"/>
    <x v="2"/>
    <n v="2"/>
    <n v="133.51"/>
    <n v="5"/>
    <n v="253.67"/>
    <n v="72.760000000000005"/>
    <n v="42"/>
    <x v="1"/>
    <s v="Cash"/>
  </r>
  <r>
    <n v="101050"/>
    <x v="424"/>
    <s v="AD-1170-C"/>
    <x v="8"/>
    <x v="2"/>
    <x v="4"/>
    <x v="2"/>
    <n v="2"/>
    <n v="15.79"/>
    <n v="40"/>
    <n v="18.95"/>
    <n v="8.6"/>
    <n v="38"/>
    <x v="1"/>
    <s v="Credit Card"/>
  </r>
  <r>
    <n v="100583"/>
    <x v="209"/>
    <s v="AD-5421-D"/>
    <x v="12"/>
    <x v="0"/>
    <x v="4"/>
    <x v="0"/>
    <n v="4"/>
    <n v="134.32"/>
    <n v="5"/>
    <n v="510.42"/>
    <n v="145.47"/>
    <n v="25"/>
    <x v="1"/>
    <s v="Credit Card"/>
  </r>
  <r>
    <n v="101194"/>
    <x v="425"/>
    <s v="AD-5103-A"/>
    <x v="7"/>
    <x v="1"/>
    <x v="1"/>
    <x v="3"/>
    <n v="3"/>
    <n v="171.62"/>
    <n v="0"/>
    <n v="514.86"/>
    <n v="167.49"/>
    <n v="28"/>
    <x v="0"/>
    <s v="Credit Card"/>
  </r>
  <r>
    <n v="100007"/>
    <x v="280"/>
    <s v="AD-1916-B"/>
    <x v="3"/>
    <x v="2"/>
    <x v="3"/>
    <x v="1"/>
    <n v="4"/>
    <n v="17.989999999999998"/>
    <n v="5"/>
    <n v="68.36"/>
    <n v="35.85"/>
    <n v="39"/>
    <x v="0"/>
    <s v="Cash"/>
  </r>
  <r>
    <n v="100573"/>
    <x v="303"/>
    <s v="AD-6465-D"/>
    <x v="3"/>
    <x v="2"/>
    <x v="0"/>
    <x v="0"/>
    <n v="4"/>
    <n v="19"/>
    <n v="0"/>
    <n v="76"/>
    <n v="21.18"/>
    <n v="44"/>
    <x v="0"/>
    <s v="NetBanking"/>
  </r>
  <r>
    <n v="100842"/>
    <x v="425"/>
    <s v="AD-7974-D"/>
    <x v="13"/>
    <x v="0"/>
    <x v="4"/>
    <x v="1"/>
    <n v="4"/>
    <n v="124.53"/>
    <n v="0"/>
    <n v="498.12"/>
    <n v="113.08"/>
    <n v="31"/>
    <x v="1"/>
    <s v="PayPal"/>
  </r>
  <r>
    <n v="100357"/>
    <x v="426"/>
    <s v="AD-1029-D"/>
    <x v="17"/>
    <x v="2"/>
    <x v="1"/>
    <x v="1"/>
    <n v="2"/>
    <n v="38.82"/>
    <n v="0"/>
    <n v="77.64"/>
    <n v="24.21"/>
    <n v="42"/>
    <x v="1"/>
    <s v="PayPal"/>
  </r>
  <r>
    <n v="100329"/>
    <x v="99"/>
    <s v="AD-5625-C"/>
    <x v="5"/>
    <x v="0"/>
    <x v="3"/>
    <x v="3"/>
    <n v="3"/>
    <n v="79.58"/>
    <n v="0"/>
    <n v="238.74"/>
    <n v="77.37"/>
    <n v="24"/>
    <x v="1"/>
    <s v="Google Pay"/>
  </r>
  <r>
    <n v="100704"/>
    <x v="427"/>
    <s v="AD-5720-A"/>
    <x v="14"/>
    <x v="1"/>
    <x v="1"/>
    <x v="1"/>
    <n v="2"/>
    <n v="224.14"/>
    <n v="0"/>
    <n v="448.28"/>
    <n v="104.77"/>
    <n v="37"/>
    <x v="1"/>
    <s v="Cash"/>
  </r>
  <r>
    <n v="100829"/>
    <x v="23"/>
    <s v="AD-6592-C"/>
    <x v="16"/>
    <x v="1"/>
    <x v="1"/>
    <x v="1"/>
    <n v="2"/>
    <n v="33.950000000000003"/>
    <n v="5"/>
    <n v="64.5"/>
    <n v="22.58"/>
    <n v="32"/>
    <x v="1"/>
    <s v="Google Pay"/>
  </r>
  <r>
    <n v="100258"/>
    <x v="375"/>
    <s v="AD-5914-A"/>
    <x v="12"/>
    <x v="0"/>
    <x v="3"/>
    <x v="1"/>
    <n v="2"/>
    <n v="141.22"/>
    <n v="10"/>
    <n v="254.2"/>
    <n v="54.11"/>
    <n v="22"/>
    <x v="1"/>
    <s v="UPI"/>
  </r>
  <r>
    <n v="100890"/>
    <x v="338"/>
    <s v="AD-1939-B"/>
    <x v="19"/>
    <x v="1"/>
    <x v="1"/>
    <x v="0"/>
    <n v="1"/>
    <n v="136.99"/>
    <n v="5"/>
    <n v="130.13999999999999"/>
    <n v="41.54"/>
    <n v="32"/>
    <x v="0"/>
    <s v="PayPal"/>
  </r>
  <r>
    <n v="100833"/>
    <x v="428"/>
    <s v="AD-9516-C"/>
    <x v="12"/>
    <x v="0"/>
    <x v="0"/>
    <x v="1"/>
    <n v="2"/>
    <n v="156.76"/>
    <n v="0"/>
    <n v="313.52"/>
    <n v="109.41"/>
    <n v="32"/>
    <x v="0"/>
    <s v="Credit Card"/>
  </r>
  <r>
    <n v="101187"/>
    <x v="52"/>
    <s v="AD-8601-D"/>
    <x v="17"/>
    <x v="2"/>
    <x v="0"/>
    <x v="0"/>
    <n v="3"/>
    <n v="35.479999999999997"/>
    <n v="5"/>
    <n v="101.12"/>
    <n v="29.56"/>
    <n v="38"/>
    <x v="0"/>
    <s v="Debit Card"/>
  </r>
  <r>
    <n v="100904"/>
    <x v="429"/>
    <s v="AD-1599-B"/>
    <x v="11"/>
    <x v="0"/>
    <x v="1"/>
    <x v="3"/>
    <n v="2"/>
    <n v="25.41"/>
    <n v="0"/>
    <n v="50.82"/>
    <n v="14.51"/>
    <n v="40"/>
    <x v="1"/>
    <s v="Apple Pay"/>
  </r>
  <r>
    <n v="100525"/>
    <x v="430"/>
    <s v="AD-8052-C"/>
    <x v="8"/>
    <x v="2"/>
    <x v="2"/>
    <x v="3"/>
    <n v="3"/>
    <n v="14"/>
    <n v="10"/>
    <n v="37.799999999999997"/>
    <n v="9.34"/>
    <n v="16"/>
    <x v="1"/>
    <s v="Credit Card"/>
  </r>
  <r>
    <n v="100813"/>
    <x v="255"/>
    <s v="AD-2410-C"/>
    <x v="9"/>
    <x v="2"/>
    <x v="0"/>
    <x v="0"/>
    <n v="5"/>
    <n v="18.829999999999998"/>
    <n v="0"/>
    <n v="94.15"/>
    <n v="30.76"/>
    <n v="17"/>
    <x v="0"/>
    <s v="UPI"/>
  </r>
  <r>
    <n v="100731"/>
    <x v="430"/>
    <s v="AD-3028-B"/>
    <x v="18"/>
    <x v="1"/>
    <x v="4"/>
    <x v="0"/>
    <n v="2"/>
    <n v="96.02"/>
    <n v="0"/>
    <n v="192.04"/>
    <n v="56.49"/>
    <n v="43"/>
    <x v="1"/>
    <s v="Debit Card"/>
  </r>
  <r>
    <n v="101031"/>
    <x v="431"/>
    <s v="AD-8961-A"/>
    <x v="13"/>
    <x v="0"/>
    <x v="0"/>
    <x v="0"/>
    <n v="1"/>
    <n v="119"/>
    <n v="5"/>
    <n v="113.05"/>
    <n v="30.11"/>
    <n v="28"/>
    <x v="1"/>
    <s v="NetBanking"/>
  </r>
  <r>
    <n v="101140"/>
    <x v="432"/>
    <s v="AD-9082-A"/>
    <x v="2"/>
    <x v="1"/>
    <x v="1"/>
    <x v="1"/>
    <n v="4"/>
    <n v="89.18"/>
    <n v="0"/>
    <n v="356.72"/>
    <n v="105.33"/>
    <n v="30"/>
    <x v="1"/>
    <s v="Google Pay"/>
  </r>
  <r>
    <n v="100440"/>
    <x v="433"/>
    <s v="AD-1881-A"/>
    <x v="15"/>
    <x v="1"/>
    <x v="1"/>
    <x v="3"/>
    <n v="4"/>
    <n v="147.13999999999999"/>
    <n v="0"/>
    <n v="588.55999999999995"/>
    <n v="184.48"/>
    <n v="21"/>
    <x v="0"/>
    <s v="Cash"/>
  </r>
  <r>
    <n v="100531"/>
    <x v="91"/>
    <s v="AD-1918-C"/>
    <x v="9"/>
    <x v="2"/>
    <x v="1"/>
    <x v="1"/>
    <n v="2"/>
    <n v="19.940000000000001"/>
    <n v="0"/>
    <n v="39.880000000000003"/>
    <n v="11.52"/>
    <n v="23"/>
    <x v="1"/>
    <s v="PayPal"/>
  </r>
  <r>
    <n v="100959"/>
    <x v="177"/>
    <s v="AD-7297-D"/>
    <x v="5"/>
    <x v="0"/>
    <x v="3"/>
    <x v="2"/>
    <n v="2"/>
    <n v="67.56"/>
    <n v="0"/>
    <n v="135.12"/>
    <n v="35.75"/>
    <n v="29"/>
    <x v="1"/>
    <s v="Debit Card"/>
  </r>
  <r>
    <n v="100228"/>
    <x v="434"/>
    <s v="AD-7813-D"/>
    <x v="19"/>
    <x v="1"/>
    <x v="3"/>
    <x v="1"/>
    <n v="3"/>
    <n v="142.54"/>
    <n v="20"/>
    <n v="342.1"/>
    <n v="109.2"/>
    <n v="18"/>
    <x v="1"/>
    <s v="Cash"/>
  </r>
  <r>
    <n v="101040"/>
    <x v="131"/>
    <s v="AD-1672-B"/>
    <x v="1"/>
    <x v="0"/>
    <x v="1"/>
    <x v="2"/>
    <n v="5"/>
    <n v="24.87"/>
    <n v="20"/>
    <n v="99.48"/>
    <n v="19.190000000000001"/>
    <n v="31"/>
    <x v="1"/>
    <s v="Debit Card"/>
  </r>
  <r>
    <n v="100212"/>
    <x v="435"/>
    <s v="AD-8932-B"/>
    <x v="11"/>
    <x v="0"/>
    <x v="2"/>
    <x v="1"/>
    <n v="2"/>
    <n v="32.31"/>
    <n v="0"/>
    <n v="64.62"/>
    <n v="19.29"/>
    <n v="31"/>
    <x v="0"/>
    <s v="NetBanking"/>
  </r>
  <r>
    <n v="100079"/>
    <x v="436"/>
    <s v="AD-8381-D"/>
    <x v="8"/>
    <x v="2"/>
    <x v="0"/>
    <x v="1"/>
    <n v="4"/>
    <n v="15.64"/>
    <n v="0"/>
    <n v="62.56"/>
    <n v="21.71"/>
    <n v="46"/>
    <x v="1"/>
    <s v="Apple Pay"/>
  </r>
  <r>
    <n v="100148"/>
    <x v="437"/>
    <s v="AD-9312-A"/>
    <x v="2"/>
    <x v="1"/>
    <x v="0"/>
    <x v="1"/>
    <n v="4"/>
    <n v="99.25"/>
    <n v="5"/>
    <n v="377.15"/>
    <n v="133.53"/>
    <n v="33"/>
    <x v="0"/>
    <s v="Cash"/>
  </r>
  <r>
    <n v="100591"/>
    <x v="438"/>
    <s v="AD-7204-D"/>
    <x v="18"/>
    <x v="1"/>
    <x v="0"/>
    <x v="0"/>
    <n v="4"/>
    <n v="85.74"/>
    <n v="0"/>
    <n v="342.96"/>
    <n v="95.02"/>
    <n v="24"/>
    <x v="0"/>
    <s v="PayPal"/>
  </r>
  <r>
    <n v="100707"/>
    <x v="439"/>
    <s v="AD-8347-B"/>
    <x v="16"/>
    <x v="1"/>
    <x v="4"/>
    <x v="0"/>
    <n v="1"/>
    <n v="35.89"/>
    <n v="0"/>
    <n v="35.89"/>
    <n v="11.09"/>
    <n v="40"/>
    <x v="1"/>
    <s v="Cash"/>
  </r>
  <r>
    <n v="100589"/>
    <x v="67"/>
    <s v="AD-1408-B"/>
    <x v="17"/>
    <x v="2"/>
    <x v="0"/>
    <x v="0"/>
    <n v="2"/>
    <n v="38.049999999999997"/>
    <n v="0"/>
    <n v="76.099999999999994"/>
    <n v="28.72"/>
    <n v="23"/>
    <x v="1"/>
    <s v="Google Pay"/>
  </r>
  <r>
    <n v="100133"/>
    <x v="111"/>
    <s v="AD-4705-D"/>
    <x v="9"/>
    <x v="2"/>
    <x v="4"/>
    <x v="2"/>
    <n v="4"/>
    <n v="25.11"/>
    <n v="20"/>
    <n v="80.349999999999994"/>
    <n v="33.92"/>
    <n v="16"/>
    <x v="1"/>
    <s v="NetBanking"/>
  </r>
  <r>
    <n v="100781"/>
    <x v="440"/>
    <s v="AD-2922-A"/>
    <x v="12"/>
    <x v="0"/>
    <x v="0"/>
    <x v="0"/>
    <n v="3"/>
    <n v="150.93"/>
    <n v="0"/>
    <n v="452.79"/>
    <n v="134.34"/>
    <n v="25"/>
    <x v="0"/>
    <s v="PayPal"/>
  </r>
  <r>
    <n v="100408"/>
    <x v="441"/>
    <s v="AD-5933-D"/>
    <x v="3"/>
    <x v="2"/>
    <x v="1"/>
    <x v="1"/>
    <n v="2"/>
    <n v="20.28"/>
    <n v="5"/>
    <n v="38.53"/>
    <n v="9.98"/>
    <n v="28"/>
    <x v="1"/>
    <s v="Credit Card"/>
  </r>
  <r>
    <n v="100969"/>
    <x v="442"/>
    <s v="AD-6918-D"/>
    <x v="4"/>
    <x v="2"/>
    <x v="0"/>
    <x v="0"/>
    <n v="2"/>
    <n v="53.89"/>
    <n v="5"/>
    <n v="102.39"/>
    <n v="37.729999999999997"/>
    <n v="44"/>
    <x v="1"/>
    <s v="UPI"/>
  </r>
  <r>
    <n v="100507"/>
    <x v="443"/>
    <s v="AD-7866-C"/>
    <x v="1"/>
    <x v="0"/>
    <x v="0"/>
    <x v="0"/>
    <n v="3"/>
    <n v="28.06"/>
    <n v="5"/>
    <n v="79.97"/>
    <n v="21.4"/>
    <n v="34"/>
    <x v="1"/>
    <s v="UPI"/>
  </r>
  <r>
    <n v="100876"/>
    <x v="351"/>
    <s v="AD-4143-A"/>
    <x v="2"/>
    <x v="1"/>
    <x v="3"/>
    <x v="2"/>
    <n v="2"/>
    <n v="101.82"/>
    <n v="10"/>
    <n v="183.28"/>
    <n v="65.34"/>
    <n v="24"/>
    <x v="0"/>
    <s v="NetBanking"/>
  </r>
  <r>
    <n v="100504"/>
    <x v="215"/>
    <s v="AD-8836-A"/>
    <x v="10"/>
    <x v="2"/>
    <x v="4"/>
    <x v="1"/>
    <n v="4"/>
    <n v="44.86"/>
    <n v="5"/>
    <n v="170.47"/>
    <n v="54.65"/>
    <n v="34"/>
    <x v="1"/>
    <s v="Apple Pay"/>
  </r>
  <r>
    <n v="100718"/>
    <x v="444"/>
    <s v="AD-9095-D"/>
    <x v="12"/>
    <x v="0"/>
    <x v="1"/>
    <x v="2"/>
    <n v="4"/>
    <n v="150.96"/>
    <n v="5"/>
    <n v="573.65"/>
    <n v="113.41"/>
    <n v="28"/>
    <x v="1"/>
    <s v="NetBanking"/>
  </r>
  <r>
    <n v="100347"/>
    <x v="445"/>
    <s v="AD-6883-D"/>
    <x v="10"/>
    <x v="2"/>
    <x v="3"/>
    <x v="1"/>
    <n v="4"/>
    <n v="45.84"/>
    <n v="20"/>
    <n v="146.69"/>
    <n v="36.659999999999997"/>
    <n v="30"/>
    <x v="1"/>
    <s v="Apple Pay"/>
  </r>
  <r>
    <n v="100386"/>
    <x v="446"/>
    <s v="AD-4626-B"/>
    <x v="2"/>
    <x v="1"/>
    <x v="1"/>
    <x v="0"/>
    <n v="2"/>
    <n v="90"/>
    <n v="5"/>
    <n v="171"/>
    <n v="48.7"/>
    <n v="26"/>
    <x v="0"/>
    <s v="UPI"/>
  </r>
  <r>
    <n v="100000"/>
    <x v="102"/>
    <s v="AD-7912-A"/>
    <x v="18"/>
    <x v="1"/>
    <x v="4"/>
    <x v="0"/>
    <n v="3"/>
    <n v="88.38"/>
    <n v="10"/>
    <n v="238.63"/>
    <n v="69.94"/>
    <n v="32"/>
    <x v="0"/>
    <s v="Debit Card"/>
  </r>
  <r>
    <n v="100360"/>
    <x v="447"/>
    <s v="AD-1788-D"/>
    <x v="1"/>
    <x v="0"/>
    <x v="0"/>
    <x v="0"/>
    <n v="2"/>
    <n v="21.86"/>
    <n v="20"/>
    <n v="34.979999999999997"/>
    <n v="7.43"/>
    <n v="43"/>
    <x v="0"/>
    <s v="Credit Card"/>
  </r>
  <r>
    <n v="101133"/>
    <x v="448"/>
    <s v="AD-7089-C"/>
    <x v="7"/>
    <x v="1"/>
    <x v="1"/>
    <x v="0"/>
    <n v="4"/>
    <n v="173.06"/>
    <n v="0"/>
    <n v="692.24"/>
    <n v="210.25"/>
    <n v="38"/>
    <x v="1"/>
    <s v="UPI"/>
  </r>
  <r>
    <n v="100475"/>
    <x v="449"/>
    <s v="AD-1916-B"/>
    <x v="15"/>
    <x v="1"/>
    <x v="0"/>
    <x v="0"/>
    <n v="2"/>
    <n v="161.02000000000001"/>
    <n v="10"/>
    <n v="289.83999999999997"/>
    <n v="76.67"/>
    <n v="19"/>
    <x v="1"/>
    <s v="PayPal"/>
  </r>
  <r>
    <n v="100777"/>
    <x v="309"/>
    <s v="AD-7722-C"/>
    <x v="0"/>
    <x v="0"/>
    <x v="4"/>
    <x v="0"/>
    <n v="1"/>
    <n v="60.55"/>
    <n v="5"/>
    <n v="57.52"/>
    <n v="16.149999999999999"/>
    <n v="33"/>
    <x v="1"/>
    <s v="PayPal"/>
  </r>
  <r>
    <n v="100753"/>
    <x v="403"/>
    <s v="AD-8695-A"/>
    <x v="3"/>
    <x v="2"/>
    <x v="1"/>
    <x v="1"/>
    <n v="3"/>
    <n v="15.95"/>
    <n v="0"/>
    <n v="47.85"/>
    <n v="14.86"/>
    <n v="23"/>
    <x v="1"/>
    <s v="Credit Card"/>
  </r>
  <r>
    <n v="100172"/>
    <x v="380"/>
    <s v="AD-4950-A"/>
    <x v="12"/>
    <x v="0"/>
    <x v="4"/>
    <x v="0"/>
    <n v="3"/>
    <n v="138.93"/>
    <n v="0"/>
    <n v="416.79"/>
    <n v="123.68"/>
    <n v="31"/>
    <x v="0"/>
    <s v="Cash"/>
  </r>
  <r>
    <n v="100450"/>
    <x v="68"/>
    <s v="AD-4368-D"/>
    <x v="2"/>
    <x v="1"/>
    <x v="0"/>
    <x v="0"/>
    <n v="1"/>
    <n v="89.51"/>
    <n v="20"/>
    <n v="71.61"/>
    <n v="22.12"/>
    <n v="29"/>
    <x v="0"/>
    <s v="Debit Card"/>
  </r>
  <r>
    <n v="100125"/>
    <x v="450"/>
    <s v="AD-8504-A"/>
    <x v="17"/>
    <x v="2"/>
    <x v="1"/>
    <x v="3"/>
    <n v="3"/>
    <n v="42.16"/>
    <n v="10"/>
    <n v="113.83"/>
    <n v="37.299999999999997"/>
    <n v="25"/>
    <x v="1"/>
    <s v="NetBanking"/>
  </r>
  <r>
    <n v="100930"/>
    <x v="195"/>
    <s v="AD-8713-C"/>
    <x v="3"/>
    <x v="2"/>
    <x v="1"/>
    <x v="0"/>
    <n v="3"/>
    <n v="19.149999999999999"/>
    <n v="10"/>
    <n v="51.7"/>
    <n v="15.64"/>
    <n v="22"/>
    <x v="0"/>
    <s v="PayPal"/>
  </r>
  <r>
    <n v="100530"/>
    <x v="451"/>
    <s v="AD-7885-C"/>
    <x v="3"/>
    <x v="2"/>
    <x v="4"/>
    <x v="0"/>
    <n v="3"/>
    <n v="17.489999999999998"/>
    <n v="0"/>
    <n v="52.47"/>
    <n v="27.18"/>
    <n v="41"/>
    <x v="1"/>
    <s v="Cash"/>
  </r>
  <r>
    <n v="100090"/>
    <x v="452"/>
    <s v="AD-4073-C"/>
    <x v="10"/>
    <x v="2"/>
    <x v="4"/>
    <x v="2"/>
    <n v="2"/>
    <n v="47.21"/>
    <n v="0"/>
    <n v="94.42"/>
    <n v="36.17"/>
    <n v="27"/>
    <x v="1"/>
    <s v="Credit Card"/>
  </r>
  <r>
    <n v="101161"/>
    <x v="453"/>
    <s v="AD-4740-B"/>
    <x v="5"/>
    <x v="0"/>
    <x v="4"/>
    <x v="0"/>
    <n v="3"/>
    <n v="73.75"/>
    <n v="5"/>
    <n v="210.19"/>
    <n v="40.81"/>
    <n v="26"/>
    <x v="0"/>
    <s v="NetBanking"/>
  </r>
  <r>
    <n v="100181"/>
    <x v="330"/>
    <s v="AD-8179-A"/>
    <x v="12"/>
    <x v="0"/>
    <x v="0"/>
    <x v="1"/>
    <n v="4"/>
    <n v="156.16999999999999"/>
    <n v="5"/>
    <n v="593.45000000000005"/>
    <n v="178.37"/>
    <n v="33"/>
    <x v="0"/>
    <s v="PayPal"/>
  </r>
  <r>
    <n v="101026"/>
    <x v="454"/>
    <s v="AD-2780-D"/>
    <x v="9"/>
    <x v="2"/>
    <x v="4"/>
    <x v="0"/>
    <n v="4"/>
    <n v="21.68"/>
    <n v="5"/>
    <n v="82.38"/>
    <n v="27.07"/>
    <n v="30"/>
    <x v="1"/>
    <s v="NetBanking"/>
  </r>
  <r>
    <n v="100999"/>
    <x v="455"/>
    <s v="AD-2922-B"/>
    <x v="10"/>
    <x v="2"/>
    <x v="1"/>
    <x v="2"/>
    <n v="1"/>
    <n v="47.77"/>
    <n v="0"/>
    <n v="47.77"/>
    <n v="16.89"/>
    <n v="37"/>
    <x v="0"/>
    <s v="UPI"/>
  </r>
  <r>
    <n v="100251"/>
    <x v="456"/>
    <s v="AD-5836-B"/>
    <x v="4"/>
    <x v="2"/>
    <x v="2"/>
    <x v="1"/>
    <n v="2"/>
    <n v="56.19"/>
    <n v="10"/>
    <n v="101.14"/>
    <n v="26.53"/>
    <n v="33"/>
    <x v="1"/>
    <s v="Apple Pay"/>
  </r>
  <r>
    <n v="100069"/>
    <x v="449"/>
    <s v="AD-3979-D"/>
    <x v="3"/>
    <x v="2"/>
    <x v="0"/>
    <x v="0"/>
    <n v="2"/>
    <n v="18.66"/>
    <n v="0"/>
    <n v="37.32"/>
    <n v="12.5"/>
    <n v="37"/>
    <x v="1"/>
    <s v="Cash"/>
  </r>
  <r>
    <n v="100131"/>
    <x v="457"/>
    <s v="AD-3002-D"/>
    <x v="11"/>
    <x v="0"/>
    <x v="0"/>
    <x v="1"/>
    <n v="4"/>
    <n v="29.45"/>
    <n v="0"/>
    <n v="117.8"/>
    <n v="44.62"/>
    <n v="21"/>
    <x v="0"/>
    <s v="Cash"/>
  </r>
  <r>
    <n v="100300"/>
    <x v="116"/>
    <s v="AD-9428-A"/>
    <x v="1"/>
    <x v="0"/>
    <x v="4"/>
    <x v="3"/>
    <n v="3"/>
    <n v="26.27"/>
    <n v="0"/>
    <n v="78.81"/>
    <n v="19.940000000000001"/>
    <n v="33"/>
    <x v="1"/>
    <s v="NetBanking"/>
  </r>
  <r>
    <n v="101132"/>
    <x v="458"/>
    <s v="AD-7525-A"/>
    <x v="15"/>
    <x v="1"/>
    <x v="4"/>
    <x v="0"/>
    <n v="2"/>
    <n v="150.02000000000001"/>
    <n v="0"/>
    <n v="300.04000000000002"/>
    <n v="113.01"/>
    <n v="41"/>
    <x v="0"/>
    <s v="Cash"/>
  </r>
  <r>
    <n v="100326"/>
    <x v="27"/>
    <s v="AD-1721-A"/>
    <x v="18"/>
    <x v="1"/>
    <x v="0"/>
    <x v="0"/>
    <n v="3"/>
    <n v="91.04"/>
    <n v="0"/>
    <n v="273.12"/>
    <n v="74.739999999999995"/>
    <n v="32"/>
    <x v="0"/>
    <s v="Credit Card"/>
  </r>
  <r>
    <n v="101019"/>
    <x v="187"/>
    <s v="AD-8350-B"/>
    <x v="6"/>
    <x v="1"/>
    <x v="0"/>
    <x v="1"/>
    <n v="2"/>
    <n v="166.26"/>
    <n v="0"/>
    <n v="332.52"/>
    <n v="103.33"/>
    <n v="36"/>
    <x v="1"/>
    <s v="Credit Card"/>
  </r>
  <r>
    <n v="100499"/>
    <x v="459"/>
    <s v="AD-7536-C"/>
    <x v="11"/>
    <x v="0"/>
    <x v="4"/>
    <x v="2"/>
    <n v="1"/>
    <n v="31.4"/>
    <n v="0"/>
    <n v="31.4"/>
    <n v="7"/>
    <n v="41"/>
    <x v="1"/>
    <s v="Debit Card"/>
  </r>
  <r>
    <n v="100665"/>
    <x v="460"/>
    <s v="AD-6886-D"/>
    <x v="15"/>
    <x v="1"/>
    <x v="0"/>
    <x v="0"/>
    <n v="2"/>
    <n v="151.47999999999999"/>
    <n v="0"/>
    <n v="302.95999999999998"/>
    <n v="94.41"/>
    <n v="23"/>
    <x v="1"/>
    <s v="Debit Card"/>
  </r>
  <r>
    <n v="100918"/>
    <x v="216"/>
    <s v="AD-4058-B"/>
    <x v="18"/>
    <x v="1"/>
    <x v="4"/>
    <x v="2"/>
    <n v="3"/>
    <n v="73.52"/>
    <n v="0"/>
    <n v="220.56"/>
    <n v="53.82"/>
    <n v="18"/>
    <x v="0"/>
    <s v="Credit Card"/>
  </r>
  <r>
    <n v="100495"/>
    <x v="454"/>
    <s v="AD-7670-A"/>
    <x v="19"/>
    <x v="1"/>
    <x v="1"/>
    <x v="0"/>
    <n v="4"/>
    <n v="122.85"/>
    <n v="0"/>
    <n v="491.4"/>
    <n v="152.88"/>
    <n v="26"/>
    <x v="1"/>
    <s v="PayPal"/>
  </r>
  <r>
    <n v="100338"/>
    <x v="160"/>
    <s v="AD-6051-D"/>
    <x v="3"/>
    <x v="2"/>
    <x v="4"/>
    <x v="0"/>
    <n v="1"/>
    <n v="18.12"/>
    <n v="5"/>
    <n v="17.21"/>
    <n v="3.92"/>
    <n v="38"/>
    <x v="0"/>
    <s v="Google Pay"/>
  </r>
  <r>
    <n v="100963"/>
    <x v="168"/>
    <s v="AD-8060-B"/>
    <x v="9"/>
    <x v="2"/>
    <x v="4"/>
    <x v="1"/>
    <n v="3"/>
    <n v="23.28"/>
    <n v="10"/>
    <n v="62.86"/>
    <n v="23.53"/>
    <n v="25"/>
    <x v="1"/>
    <s v="NetBanking"/>
  </r>
  <r>
    <n v="100164"/>
    <x v="461"/>
    <s v="AD-8391-C"/>
    <x v="7"/>
    <x v="1"/>
    <x v="2"/>
    <x v="0"/>
    <n v="1"/>
    <n v="168.43"/>
    <n v="40"/>
    <n v="101.06"/>
    <n v="40.479999999999997"/>
    <n v="16"/>
    <x v="1"/>
    <s v="UPI"/>
  </r>
  <r>
    <n v="100028"/>
    <x v="462"/>
    <s v="AD-1651-A"/>
    <x v="2"/>
    <x v="1"/>
    <x v="4"/>
    <x v="0"/>
    <n v="5"/>
    <n v="92.53"/>
    <n v="0"/>
    <n v="462.65"/>
    <n v="134.03"/>
    <n v="34"/>
    <x v="0"/>
    <s v="UPI"/>
  </r>
  <r>
    <n v="100516"/>
    <x v="463"/>
    <s v="AD-5444-D"/>
    <x v="13"/>
    <x v="0"/>
    <x v="1"/>
    <x v="0"/>
    <n v="2"/>
    <n v="128.6"/>
    <n v="20"/>
    <n v="205.76"/>
    <n v="49.82"/>
    <n v="32"/>
    <x v="1"/>
    <s v="Apple Pay"/>
  </r>
  <r>
    <n v="100193"/>
    <x v="263"/>
    <s v="AD-1674-A"/>
    <x v="7"/>
    <x v="1"/>
    <x v="0"/>
    <x v="0"/>
    <n v="4"/>
    <n v="172.16"/>
    <n v="0"/>
    <n v="688.64"/>
    <n v="193.87"/>
    <n v="31"/>
    <x v="0"/>
    <s v="Cash"/>
  </r>
  <r>
    <n v="101103"/>
    <x v="464"/>
    <s v="AD-6304-C"/>
    <x v="6"/>
    <x v="1"/>
    <x v="2"/>
    <x v="0"/>
    <n v="5"/>
    <n v="200.05"/>
    <n v="0"/>
    <n v="1000.25"/>
    <n v="230.51"/>
    <n v="26"/>
    <x v="0"/>
    <s v="PayPal"/>
  </r>
  <r>
    <n v="100169"/>
    <x v="465"/>
    <s v="AD-9189-A"/>
    <x v="18"/>
    <x v="1"/>
    <x v="1"/>
    <x v="1"/>
    <n v="2"/>
    <n v="79.33"/>
    <n v="10"/>
    <n v="142.79"/>
    <n v="45.82"/>
    <n v="33"/>
    <x v="1"/>
    <s v="Debit Card"/>
  </r>
  <r>
    <n v="101058"/>
    <x v="236"/>
    <s v="AD-6036-C"/>
    <x v="2"/>
    <x v="1"/>
    <x v="1"/>
    <x v="1"/>
    <n v="4"/>
    <n v="88.34"/>
    <n v="20"/>
    <n v="282.69"/>
    <n v="73.42"/>
    <n v="29"/>
    <x v="1"/>
    <s v="PayPal"/>
  </r>
  <r>
    <n v="100173"/>
    <x v="174"/>
    <s v="AD-8612-D"/>
    <x v="17"/>
    <x v="2"/>
    <x v="1"/>
    <x v="0"/>
    <n v="1"/>
    <n v="41.31"/>
    <n v="0"/>
    <n v="41.31"/>
    <n v="16.739999999999998"/>
    <n v="21"/>
    <x v="1"/>
    <s v="PayPal"/>
  </r>
  <r>
    <n v="100518"/>
    <x v="212"/>
    <s v="AD-2565-A"/>
    <x v="1"/>
    <x v="0"/>
    <x v="0"/>
    <x v="0"/>
    <n v="1"/>
    <n v="24.59"/>
    <n v="0"/>
    <n v="24.59"/>
    <n v="5.78"/>
    <n v="24"/>
    <x v="1"/>
    <s v="Debit Card"/>
  </r>
  <r>
    <n v="100968"/>
    <x v="466"/>
    <s v="AD-8753-C"/>
    <x v="6"/>
    <x v="1"/>
    <x v="1"/>
    <x v="3"/>
    <n v="4"/>
    <n v="172.75"/>
    <n v="5"/>
    <n v="656.45"/>
    <n v="191.99"/>
    <n v="32"/>
    <x v="1"/>
    <s v="Google Pay"/>
  </r>
  <r>
    <n v="100701"/>
    <x v="467"/>
    <s v="AD-7824-B"/>
    <x v="14"/>
    <x v="1"/>
    <x v="2"/>
    <x v="1"/>
    <n v="5"/>
    <n v="246.47"/>
    <n v="5"/>
    <n v="1170.73"/>
    <n v="364.43"/>
    <n v="30"/>
    <x v="0"/>
    <s v="NetBanking"/>
  </r>
  <r>
    <n v="100491"/>
    <x v="468"/>
    <s v="AD-4190-A"/>
    <x v="9"/>
    <x v="2"/>
    <x v="4"/>
    <x v="1"/>
    <n v="5"/>
    <n v="24.56"/>
    <n v="5"/>
    <n v="116.66"/>
    <n v="47.27"/>
    <n v="42"/>
    <x v="0"/>
    <s v="NetBanking"/>
  </r>
  <r>
    <n v="100073"/>
    <x v="201"/>
    <s v="AD-4155-C"/>
    <x v="8"/>
    <x v="2"/>
    <x v="0"/>
    <x v="0"/>
    <n v="1"/>
    <n v="12.83"/>
    <n v="5"/>
    <n v="12.19"/>
    <n v="4.3099999999999996"/>
    <n v="45"/>
    <x v="1"/>
    <s v="Debit Card"/>
  </r>
  <r>
    <n v="100980"/>
    <x v="377"/>
    <s v="AD-4823-B"/>
    <x v="13"/>
    <x v="0"/>
    <x v="0"/>
    <x v="1"/>
    <n v="3"/>
    <n v="106.58"/>
    <n v="5"/>
    <n v="303.75"/>
    <n v="106.97"/>
    <n v="42"/>
    <x v="1"/>
    <s v="Apple Pay"/>
  </r>
  <r>
    <n v="100587"/>
    <x v="469"/>
    <s v="AD-8558-B"/>
    <x v="15"/>
    <x v="1"/>
    <x v="1"/>
    <x v="2"/>
    <n v="2"/>
    <n v="159.36000000000001"/>
    <n v="20"/>
    <n v="254.98"/>
    <n v="91.92"/>
    <n v="27"/>
    <x v="0"/>
    <s v="NetBanking"/>
  </r>
  <r>
    <n v="100234"/>
    <x v="329"/>
    <s v="AD-7887-C"/>
    <x v="2"/>
    <x v="1"/>
    <x v="1"/>
    <x v="0"/>
    <n v="2"/>
    <n v="97.39"/>
    <n v="0"/>
    <n v="194.78"/>
    <n v="58.41"/>
    <n v="18"/>
    <x v="1"/>
    <s v="PayPal"/>
  </r>
  <r>
    <n v="100214"/>
    <x v="423"/>
    <s v="AD-9899-D"/>
    <x v="9"/>
    <x v="2"/>
    <x v="3"/>
    <x v="1"/>
    <n v="2"/>
    <n v="22.53"/>
    <n v="5"/>
    <n v="42.81"/>
    <n v="11.87"/>
    <n v="29"/>
    <x v="1"/>
    <s v="Debit Card"/>
  </r>
  <r>
    <n v="100946"/>
    <x v="470"/>
    <s v="AD-4644-D"/>
    <x v="13"/>
    <x v="0"/>
    <x v="4"/>
    <x v="0"/>
    <n v="4"/>
    <n v="124.12"/>
    <n v="5"/>
    <n v="471.66"/>
    <n v="155.6"/>
    <n v="27"/>
    <x v="0"/>
    <s v="UPI"/>
  </r>
  <r>
    <n v="100132"/>
    <x v="149"/>
    <s v="AD-2697-B"/>
    <x v="4"/>
    <x v="2"/>
    <x v="0"/>
    <x v="3"/>
    <n v="2"/>
    <n v="56.85"/>
    <n v="0"/>
    <n v="113.7"/>
    <n v="30.06"/>
    <n v="16"/>
    <x v="0"/>
    <s v="Cash"/>
  </r>
  <r>
    <n v="101155"/>
    <x v="471"/>
    <s v="AD-9718-A"/>
    <x v="18"/>
    <x v="1"/>
    <x v="4"/>
    <x v="0"/>
    <n v="2"/>
    <n v="78.760000000000005"/>
    <n v="20"/>
    <n v="126.02"/>
    <n v="38.71"/>
    <n v="36"/>
    <x v="1"/>
    <s v="Debit Card"/>
  </r>
  <r>
    <n v="100732"/>
    <x v="154"/>
    <s v="AD-6698-C"/>
    <x v="16"/>
    <x v="1"/>
    <x v="1"/>
    <x v="0"/>
    <n v="4"/>
    <n v="32.520000000000003"/>
    <n v="20"/>
    <n v="104.06"/>
    <n v="17.75"/>
    <n v="21"/>
    <x v="0"/>
    <s v="NetBanking"/>
  </r>
  <r>
    <n v="100940"/>
    <x v="472"/>
    <s v="AD-6440-B"/>
    <x v="13"/>
    <x v="0"/>
    <x v="0"/>
    <x v="1"/>
    <n v="2"/>
    <n v="119.44"/>
    <n v="0"/>
    <n v="238.88"/>
    <n v="56.35"/>
    <n v="48"/>
    <x v="0"/>
    <s v="PayPal"/>
  </r>
  <r>
    <n v="100185"/>
    <x v="473"/>
    <s v="AD-3009-B"/>
    <x v="3"/>
    <x v="2"/>
    <x v="0"/>
    <x v="1"/>
    <n v="3"/>
    <n v="18.809999999999999"/>
    <n v="20"/>
    <n v="45.14"/>
    <n v="13.47"/>
    <n v="16"/>
    <x v="2"/>
    <s v="UPI"/>
  </r>
  <r>
    <n v="100041"/>
    <x v="452"/>
    <s v="AD-1452-A"/>
    <x v="2"/>
    <x v="1"/>
    <x v="4"/>
    <x v="1"/>
    <n v="1"/>
    <n v="103.28"/>
    <n v="0"/>
    <n v="103.28"/>
    <n v="39.04"/>
    <n v="31"/>
    <x v="1"/>
    <s v="Cash"/>
  </r>
  <r>
    <n v="100108"/>
    <x v="474"/>
    <s v="AD-5689-B"/>
    <x v="17"/>
    <x v="2"/>
    <x v="0"/>
    <x v="3"/>
    <n v="3"/>
    <n v="39.619999999999997"/>
    <n v="0"/>
    <n v="118.86"/>
    <n v="40.17"/>
    <n v="33"/>
    <x v="0"/>
    <s v="Google Pay"/>
  </r>
  <r>
    <n v="100848"/>
    <x v="86"/>
    <s v="AD-5644-B"/>
    <x v="6"/>
    <x v="1"/>
    <x v="4"/>
    <x v="1"/>
    <n v="5"/>
    <n v="199.39"/>
    <n v="0"/>
    <n v="996.95"/>
    <n v="236.22"/>
    <n v="29"/>
    <x v="1"/>
    <s v="NetBanking"/>
  </r>
  <r>
    <n v="100568"/>
    <x v="170"/>
    <s v="AD-4339-C"/>
    <x v="18"/>
    <x v="1"/>
    <x v="1"/>
    <x v="0"/>
    <n v="2"/>
    <n v="89.15"/>
    <n v="5"/>
    <n v="169.38"/>
    <n v="52.14"/>
    <n v="35"/>
    <x v="0"/>
    <s v="UPI"/>
  </r>
  <r>
    <n v="100650"/>
    <x v="475"/>
    <s v="AD-7258-C"/>
    <x v="12"/>
    <x v="0"/>
    <x v="4"/>
    <x v="2"/>
    <n v="1"/>
    <n v="138.97999999999999"/>
    <n v="5"/>
    <n v="132.03"/>
    <n v="36.33"/>
    <n v="16"/>
    <x v="1"/>
    <s v="Google Pay"/>
  </r>
  <r>
    <n v="101000"/>
    <x v="364"/>
    <s v="AD-3110-B"/>
    <x v="19"/>
    <x v="1"/>
    <x v="4"/>
    <x v="0"/>
    <n v="3"/>
    <n v="127.38"/>
    <n v="0"/>
    <n v="382.14"/>
    <n v="91.64"/>
    <n v="27"/>
    <x v="1"/>
    <s v="Credit Card"/>
  </r>
  <r>
    <n v="101165"/>
    <x v="218"/>
    <s v="AD-4175-D"/>
    <x v="6"/>
    <x v="1"/>
    <x v="0"/>
    <x v="3"/>
    <n v="3"/>
    <n v="170.5"/>
    <n v="20"/>
    <n v="409.2"/>
    <n v="112.45"/>
    <n v="34"/>
    <x v="1"/>
    <s v="Debit Card"/>
  </r>
  <r>
    <n v="100483"/>
    <x v="201"/>
    <s v="AD-5223-B"/>
    <x v="14"/>
    <x v="1"/>
    <x v="0"/>
    <x v="2"/>
    <n v="4"/>
    <n v="222.32"/>
    <n v="40"/>
    <n v="533.57000000000005"/>
    <n v="153.69999999999999"/>
    <n v="41"/>
    <x v="1"/>
    <s v="Apple Pay"/>
  </r>
  <r>
    <n v="100468"/>
    <x v="476"/>
    <s v="AD-6878-A"/>
    <x v="7"/>
    <x v="1"/>
    <x v="3"/>
    <x v="1"/>
    <n v="2"/>
    <n v="143.91999999999999"/>
    <n v="20"/>
    <n v="230.27"/>
    <n v="78.44"/>
    <n v="36"/>
    <x v="0"/>
    <s v="Google Pay"/>
  </r>
  <r>
    <n v="100024"/>
    <x v="228"/>
    <s v="AD-7570-A"/>
    <x v="2"/>
    <x v="1"/>
    <x v="2"/>
    <x v="0"/>
    <n v="3"/>
    <n v="88.31"/>
    <n v="0"/>
    <n v="264.93"/>
    <n v="80.5"/>
    <n v="30"/>
    <x v="1"/>
    <s v="UPI"/>
  </r>
  <r>
    <n v="100660"/>
    <x v="477"/>
    <s v="AD-3438-A"/>
    <x v="2"/>
    <x v="1"/>
    <x v="0"/>
    <x v="1"/>
    <n v="3"/>
    <n v="94.21"/>
    <n v="10"/>
    <n v="254.37"/>
    <n v="60.55"/>
    <n v="39"/>
    <x v="1"/>
    <s v="Google Pay"/>
  </r>
  <r>
    <n v="100679"/>
    <x v="478"/>
    <s v="AD-9151-B"/>
    <x v="15"/>
    <x v="1"/>
    <x v="0"/>
    <x v="1"/>
    <n v="2"/>
    <n v="155.49"/>
    <n v="20"/>
    <n v="248.78"/>
    <n v="62.32"/>
    <n v="29"/>
    <x v="0"/>
    <s v="Google Pay"/>
  </r>
  <r>
    <n v="100752"/>
    <x v="365"/>
    <s v="AD-9821-C"/>
    <x v="2"/>
    <x v="1"/>
    <x v="4"/>
    <x v="0"/>
    <n v="1"/>
    <n v="91.04"/>
    <n v="0"/>
    <n v="91.04"/>
    <n v="20.12"/>
    <n v="47"/>
    <x v="1"/>
    <s v="Credit Card"/>
  </r>
  <r>
    <n v="100993"/>
    <x v="479"/>
    <s v="AD-2922-C"/>
    <x v="7"/>
    <x v="1"/>
    <x v="4"/>
    <x v="3"/>
    <n v="3"/>
    <n v="155.56"/>
    <n v="0"/>
    <n v="466.68"/>
    <n v="133.65"/>
    <n v="39"/>
    <x v="1"/>
    <s v="Credit Card"/>
  </r>
  <r>
    <n v="100366"/>
    <x v="131"/>
    <s v="AD-1062-D"/>
    <x v="18"/>
    <x v="1"/>
    <x v="0"/>
    <x v="2"/>
    <n v="3"/>
    <n v="80.47"/>
    <n v="10"/>
    <n v="217.27"/>
    <n v="74.67"/>
    <n v="33"/>
    <x v="1"/>
    <s v="Cash"/>
  </r>
  <r>
    <n v="100839"/>
    <x v="129"/>
    <s v="AD-3028-A"/>
    <x v="4"/>
    <x v="2"/>
    <x v="4"/>
    <x v="0"/>
    <n v="3"/>
    <n v="62.16"/>
    <n v="0"/>
    <n v="186.48"/>
    <n v="45.95"/>
    <n v="32"/>
    <x v="1"/>
    <s v="Cash"/>
  </r>
  <r>
    <n v="101052"/>
    <x v="480"/>
    <s v="AD-3550-D"/>
    <x v="19"/>
    <x v="1"/>
    <x v="0"/>
    <x v="0"/>
    <n v="3"/>
    <n v="129.12"/>
    <n v="0"/>
    <n v="387.36"/>
    <n v="119.57"/>
    <n v="43"/>
    <x v="1"/>
    <s v="Apple Pay"/>
  </r>
  <r>
    <n v="100383"/>
    <x v="413"/>
    <s v="AD-6904-B"/>
    <x v="16"/>
    <x v="1"/>
    <x v="4"/>
    <x v="0"/>
    <n v="3"/>
    <n v="37.49"/>
    <n v="0"/>
    <n v="112.47"/>
    <n v="30.79"/>
    <n v="31"/>
    <x v="1"/>
    <s v="Credit Card"/>
  </r>
  <r>
    <n v="100454"/>
    <x v="481"/>
    <s v="AD-7249-D"/>
    <x v="10"/>
    <x v="2"/>
    <x v="0"/>
    <x v="0"/>
    <n v="2"/>
    <n v="46.99"/>
    <n v="10"/>
    <n v="84.58"/>
    <n v="29.93"/>
    <n v="38"/>
    <x v="1"/>
    <s v="Google Pay"/>
  </r>
  <r>
    <n v="100264"/>
    <x v="303"/>
    <s v="AD-6347-A"/>
    <x v="11"/>
    <x v="0"/>
    <x v="1"/>
    <x v="2"/>
    <n v="2"/>
    <n v="28.07"/>
    <n v="10"/>
    <n v="50.53"/>
    <n v="18.09"/>
    <n v="35"/>
    <x v="1"/>
    <s v="Apple Pay"/>
  </r>
  <r>
    <n v="100760"/>
    <x v="482"/>
    <s v="AD-7721-C"/>
    <x v="3"/>
    <x v="2"/>
    <x v="4"/>
    <x v="1"/>
    <n v="2"/>
    <n v="19.100000000000001"/>
    <n v="10"/>
    <n v="34.380000000000003"/>
    <n v="14.06"/>
    <n v="28"/>
    <x v="1"/>
    <s v="Apple Pay"/>
  </r>
  <r>
    <n v="100979"/>
    <x v="420"/>
    <s v="AD-4666-A"/>
    <x v="18"/>
    <x v="1"/>
    <x v="2"/>
    <x v="1"/>
    <n v="4"/>
    <n v="91.51"/>
    <n v="0"/>
    <n v="366.04"/>
    <n v="115.45"/>
    <n v="46"/>
    <x v="1"/>
    <s v="Cash"/>
  </r>
  <r>
    <n v="100444"/>
    <x v="483"/>
    <s v="AD-9037-C"/>
    <x v="14"/>
    <x v="1"/>
    <x v="2"/>
    <x v="1"/>
    <n v="1"/>
    <n v="200.35"/>
    <n v="10"/>
    <n v="180.31"/>
    <n v="65.23"/>
    <n v="34"/>
    <x v="0"/>
    <s v="NetBanking"/>
  </r>
  <r>
    <n v="100395"/>
    <x v="151"/>
    <s v="AD-5237-B"/>
    <x v="7"/>
    <x v="1"/>
    <x v="2"/>
    <x v="0"/>
    <n v="2"/>
    <n v="167.72"/>
    <n v="0"/>
    <n v="335.44"/>
    <n v="101.32"/>
    <n v="21"/>
    <x v="1"/>
    <s v="PayPal"/>
  </r>
  <r>
    <n v="100741"/>
    <x v="311"/>
    <s v="AD-9177-C"/>
    <x v="16"/>
    <x v="1"/>
    <x v="0"/>
    <x v="3"/>
    <n v="3"/>
    <n v="36.020000000000003"/>
    <n v="5"/>
    <n v="102.66"/>
    <n v="24.89"/>
    <n v="32"/>
    <x v="1"/>
    <s v="Apple Pay"/>
  </r>
  <r>
    <n v="100176"/>
    <x v="484"/>
    <s v="AD-3039-C"/>
    <x v="16"/>
    <x v="1"/>
    <x v="2"/>
    <x v="0"/>
    <n v="3"/>
    <n v="33.450000000000003"/>
    <n v="5"/>
    <n v="95.33"/>
    <n v="37.57"/>
    <n v="20"/>
    <x v="0"/>
    <s v="NetBanking"/>
  </r>
  <r>
    <n v="100018"/>
    <x v="485"/>
    <s v="AD-1964-B"/>
    <x v="2"/>
    <x v="1"/>
    <x v="0"/>
    <x v="0"/>
    <n v="1"/>
    <n v="97.25"/>
    <n v="5"/>
    <n v="92.39"/>
    <n v="28.92"/>
    <n v="16"/>
    <x v="1"/>
    <s v="Debit Card"/>
  </r>
  <r>
    <n v="100948"/>
    <x v="486"/>
    <s v="AD-4871-A"/>
    <x v="16"/>
    <x v="1"/>
    <x v="4"/>
    <x v="1"/>
    <n v="4"/>
    <n v="31.44"/>
    <n v="10"/>
    <n v="113.18"/>
    <n v="31.47"/>
    <n v="32"/>
    <x v="0"/>
    <s v="UPI"/>
  </r>
  <r>
    <n v="100814"/>
    <x v="405"/>
    <s v="AD-8947-D"/>
    <x v="3"/>
    <x v="2"/>
    <x v="1"/>
    <x v="0"/>
    <n v="3"/>
    <n v="16.649999999999999"/>
    <n v="10"/>
    <n v="44.95"/>
    <n v="13.07"/>
    <n v="21"/>
    <x v="0"/>
    <s v="Google Pay"/>
  </r>
  <r>
    <n v="100595"/>
    <x v="487"/>
    <s v="AD-5009-C"/>
    <x v="17"/>
    <x v="2"/>
    <x v="1"/>
    <x v="0"/>
    <n v="4"/>
    <n v="41.65"/>
    <n v="0"/>
    <n v="166.6"/>
    <n v="45.88"/>
    <n v="40"/>
    <x v="0"/>
    <s v="Credit Card"/>
  </r>
  <r>
    <n v="100061"/>
    <x v="245"/>
    <s v="AD-2124-A"/>
    <x v="2"/>
    <x v="1"/>
    <x v="0"/>
    <x v="0"/>
    <n v="4"/>
    <n v="85.91"/>
    <n v="5"/>
    <n v="326.45999999999998"/>
    <n v="86.53"/>
    <n v="29"/>
    <x v="0"/>
    <s v="UPI"/>
  </r>
  <r>
    <n v="100272"/>
    <x v="392"/>
    <s v="AD-4203-D"/>
    <x v="0"/>
    <x v="0"/>
    <x v="4"/>
    <x v="0"/>
    <n v="5"/>
    <n v="53.91"/>
    <n v="5"/>
    <n v="256.07"/>
    <n v="96.4"/>
    <n v="32"/>
    <x v="1"/>
    <s v="Google Pay"/>
  </r>
  <r>
    <n v="101125"/>
    <x v="272"/>
    <s v="AD-9548-C"/>
    <x v="13"/>
    <x v="0"/>
    <x v="1"/>
    <x v="1"/>
    <n v="2"/>
    <n v="130.97999999999999"/>
    <n v="0"/>
    <n v="261.95999999999998"/>
    <n v="50.79"/>
    <n v="25"/>
    <x v="1"/>
    <s v="PayPal"/>
  </r>
  <r>
    <n v="100278"/>
    <x v="89"/>
    <s v="AD-8357-D"/>
    <x v="0"/>
    <x v="0"/>
    <x v="0"/>
    <x v="1"/>
    <n v="3"/>
    <n v="56.15"/>
    <n v="20"/>
    <n v="134.76"/>
    <n v="26.41"/>
    <n v="39"/>
    <x v="0"/>
    <s v="Debit Card"/>
  </r>
  <r>
    <n v="100841"/>
    <x v="488"/>
    <s v="AD-9514-B"/>
    <x v="0"/>
    <x v="0"/>
    <x v="0"/>
    <x v="1"/>
    <n v="3"/>
    <n v="52.46"/>
    <n v="5"/>
    <n v="149.51"/>
    <n v="30.77"/>
    <n v="35"/>
    <x v="0"/>
    <s v="Apple Pay"/>
  </r>
  <r>
    <n v="100368"/>
    <x v="489"/>
    <s v="AD-2493-D"/>
    <x v="2"/>
    <x v="1"/>
    <x v="4"/>
    <x v="1"/>
    <n v="4"/>
    <n v="90.47"/>
    <n v="5"/>
    <n v="343.79"/>
    <n v="126.76"/>
    <n v="29"/>
    <x v="1"/>
    <s v="NetBanking"/>
  </r>
  <r>
    <n v="100886"/>
    <x v="490"/>
    <s v="AD-8439-C"/>
    <x v="4"/>
    <x v="2"/>
    <x v="0"/>
    <x v="0"/>
    <n v="6"/>
    <n v="53.45"/>
    <n v="0"/>
    <n v="320.7"/>
    <n v="121.58"/>
    <n v="31"/>
    <x v="0"/>
    <s v="Credit Card"/>
  </r>
  <r>
    <n v="101014"/>
    <x v="491"/>
    <s v="AD-8678-C"/>
    <x v="5"/>
    <x v="0"/>
    <x v="1"/>
    <x v="1"/>
    <n v="2"/>
    <n v="74.92"/>
    <n v="0"/>
    <n v="149.84"/>
    <n v="35.03"/>
    <n v="35"/>
    <x v="1"/>
    <s v="Cash"/>
  </r>
  <r>
    <n v="100859"/>
    <x v="492"/>
    <s v="AD-1849-B"/>
    <x v="12"/>
    <x v="0"/>
    <x v="4"/>
    <x v="2"/>
    <n v="1"/>
    <n v="149.31"/>
    <n v="10"/>
    <n v="134.38"/>
    <n v="43.48"/>
    <n v="31"/>
    <x v="1"/>
    <s v="Debit Card"/>
  </r>
  <r>
    <n v="100720"/>
    <x v="32"/>
    <s v="AD-9078-A"/>
    <x v="7"/>
    <x v="1"/>
    <x v="0"/>
    <x v="0"/>
    <n v="1"/>
    <n v="145.79"/>
    <n v="5"/>
    <n v="138.5"/>
    <n v="49.49"/>
    <n v="18"/>
    <x v="1"/>
    <s v="NetBanking"/>
  </r>
  <r>
    <n v="100825"/>
    <x v="493"/>
    <s v="AD-9444-A"/>
    <x v="13"/>
    <x v="0"/>
    <x v="0"/>
    <x v="1"/>
    <n v="2"/>
    <n v="130.29"/>
    <n v="0"/>
    <n v="260.58"/>
    <n v="71.010000000000005"/>
    <n v="36"/>
    <x v="0"/>
    <s v="PayPal"/>
  </r>
  <r>
    <n v="100547"/>
    <x v="63"/>
    <s v="AD-7814-C"/>
    <x v="9"/>
    <x v="2"/>
    <x v="2"/>
    <x v="1"/>
    <n v="2"/>
    <n v="20.27"/>
    <n v="0"/>
    <n v="40.54"/>
    <n v="16.190000000000001"/>
    <n v="38"/>
    <x v="0"/>
    <s v="Cash"/>
  </r>
  <r>
    <n v="100879"/>
    <x v="494"/>
    <s v="AD-4696-D"/>
    <x v="4"/>
    <x v="2"/>
    <x v="1"/>
    <x v="0"/>
    <n v="3"/>
    <n v="60.59"/>
    <n v="0"/>
    <n v="181.77"/>
    <n v="68.459999999999994"/>
    <n v="34"/>
    <x v="1"/>
    <s v="Credit Card"/>
  </r>
  <r>
    <n v="100899"/>
    <x v="495"/>
    <s v="AD-2071-A"/>
    <x v="3"/>
    <x v="2"/>
    <x v="0"/>
    <x v="1"/>
    <n v="3"/>
    <n v="17.399999999999999"/>
    <n v="20"/>
    <n v="41.76"/>
    <n v="12.74"/>
    <n v="33"/>
    <x v="0"/>
    <s v="Apple Pay"/>
  </r>
  <r>
    <n v="100456"/>
    <x v="496"/>
    <s v="AD-1082-D"/>
    <x v="11"/>
    <x v="0"/>
    <x v="4"/>
    <x v="2"/>
    <n v="3"/>
    <n v="31.37"/>
    <n v="0"/>
    <n v="94.11"/>
    <n v="26"/>
    <n v="23"/>
    <x v="1"/>
    <s v="Credit Card"/>
  </r>
  <r>
    <n v="100393"/>
    <x v="63"/>
    <s v="AD-4111-C"/>
    <x v="9"/>
    <x v="2"/>
    <x v="4"/>
    <x v="0"/>
    <n v="3"/>
    <n v="22.64"/>
    <n v="0"/>
    <n v="67.92"/>
    <n v="24.2"/>
    <n v="22"/>
    <x v="1"/>
    <s v="Credit Card"/>
  </r>
  <r>
    <n v="100675"/>
    <x v="497"/>
    <s v="AD-7819-D"/>
    <x v="9"/>
    <x v="2"/>
    <x v="4"/>
    <x v="3"/>
    <n v="4"/>
    <n v="22.33"/>
    <n v="10"/>
    <n v="80.39"/>
    <n v="25.99"/>
    <n v="33"/>
    <x v="0"/>
    <s v="NetBanking"/>
  </r>
  <r>
    <n v="100911"/>
    <x v="474"/>
    <s v="AD-8733-B"/>
    <x v="0"/>
    <x v="0"/>
    <x v="1"/>
    <x v="3"/>
    <n v="4"/>
    <n v="55.66"/>
    <n v="5"/>
    <n v="211.51"/>
    <n v="53.47"/>
    <n v="26"/>
    <x v="0"/>
    <s v="Credit Card"/>
  </r>
  <r>
    <n v="100964"/>
    <x v="498"/>
    <s v="AD-8383-B"/>
    <x v="11"/>
    <x v="0"/>
    <x v="4"/>
    <x v="1"/>
    <n v="5"/>
    <n v="28.98"/>
    <n v="20"/>
    <n v="115.92"/>
    <n v="39.82"/>
    <n v="29"/>
    <x v="1"/>
    <s v="Debit Card"/>
  </r>
  <r>
    <n v="100375"/>
    <x v="54"/>
    <s v="AD-2843-D"/>
    <x v="1"/>
    <x v="0"/>
    <x v="2"/>
    <x v="0"/>
    <n v="3"/>
    <n v="24.95"/>
    <n v="0"/>
    <n v="74.849999999999994"/>
    <n v="17.399999999999999"/>
    <n v="27"/>
    <x v="0"/>
    <s v="Apple Pay"/>
  </r>
  <r>
    <n v="100412"/>
    <x v="499"/>
    <s v="AD-9383-A"/>
    <x v="2"/>
    <x v="1"/>
    <x v="2"/>
    <x v="1"/>
    <n v="5"/>
    <n v="91.74"/>
    <n v="0"/>
    <n v="458.7"/>
    <n v="151.11000000000001"/>
    <n v="30"/>
    <x v="1"/>
    <s v="Debit Card"/>
  </r>
  <r>
    <n v="100074"/>
    <x v="6"/>
    <s v="AD-9595-C"/>
    <x v="8"/>
    <x v="2"/>
    <x v="0"/>
    <x v="0"/>
    <n v="2"/>
    <n v="16.14"/>
    <n v="0"/>
    <n v="32.28"/>
    <n v="9.35"/>
    <n v="19"/>
    <x v="0"/>
    <s v="NetBanking"/>
  </r>
  <r>
    <n v="101121"/>
    <x v="178"/>
    <s v="AD-2817-D"/>
    <x v="2"/>
    <x v="1"/>
    <x v="0"/>
    <x v="1"/>
    <n v="5"/>
    <n v="85.87"/>
    <n v="0"/>
    <n v="429.35"/>
    <n v="171.55"/>
    <n v="33"/>
    <x v="0"/>
    <s v="Debit Card"/>
  </r>
  <r>
    <n v="100862"/>
    <x v="109"/>
    <s v="AD-3332-C"/>
    <x v="8"/>
    <x v="2"/>
    <x v="4"/>
    <x v="1"/>
    <n v="6"/>
    <n v="14.99"/>
    <n v="0"/>
    <n v="89.94"/>
    <n v="30.68"/>
    <n v="43"/>
    <x v="1"/>
    <s v="UPI"/>
  </r>
  <r>
    <n v="100500"/>
    <x v="500"/>
    <s v="AD-3994-B"/>
    <x v="8"/>
    <x v="2"/>
    <x v="1"/>
    <x v="0"/>
    <n v="2"/>
    <n v="14.45"/>
    <n v="0"/>
    <n v="28.9"/>
    <n v="9.4"/>
    <n v="27"/>
    <x v="0"/>
    <s v="NetBanking"/>
  </r>
  <r>
    <n v="100941"/>
    <x v="289"/>
    <s v="AD-7264-B"/>
    <x v="13"/>
    <x v="0"/>
    <x v="0"/>
    <x v="0"/>
    <n v="2"/>
    <n v="108.15"/>
    <n v="0"/>
    <n v="216.3"/>
    <n v="77.28"/>
    <n v="30"/>
    <x v="1"/>
    <s v="Google Pay"/>
  </r>
  <r>
    <n v="100616"/>
    <x v="458"/>
    <s v="AD-4438-C"/>
    <x v="15"/>
    <x v="1"/>
    <x v="0"/>
    <x v="1"/>
    <n v="6"/>
    <n v="149.62"/>
    <n v="10"/>
    <n v="807.95"/>
    <n v="253.48"/>
    <n v="23"/>
    <x v="1"/>
    <s v="NetBanking"/>
  </r>
  <r>
    <n v="100114"/>
    <x v="159"/>
    <s v="AD-7086-A"/>
    <x v="1"/>
    <x v="0"/>
    <x v="1"/>
    <x v="1"/>
    <n v="4"/>
    <n v="28.02"/>
    <n v="0"/>
    <n v="112.08"/>
    <n v="34.090000000000003"/>
    <n v="40"/>
    <x v="0"/>
    <s v="Apple Pay"/>
  </r>
  <r>
    <n v="100417"/>
    <x v="501"/>
    <s v="AD-2699-D"/>
    <x v="7"/>
    <x v="1"/>
    <x v="0"/>
    <x v="0"/>
    <n v="2"/>
    <n v="164.55"/>
    <n v="10"/>
    <n v="296.19"/>
    <n v="70.34"/>
    <n v="34"/>
    <x v="0"/>
    <s v="PayPal"/>
  </r>
  <r>
    <n v="100601"/>
    <x v="331"/>
    <s v="AD-7996-C"/>
    <x v="17"/>
    <x v="2"/>
    <x v="0"/>
    <x v="3"/>
    <n v="3"/>
    <n v="41.44"/>
    <n v="0"/>
    <n v="124.32"/>
    <n v="55.15"/>
    <n v="37"/>
    <x v="1"/>
    <s v="NetBanking"/>
  </r>
  <r>
    <n v="100604"/>
    <x v="502"/>
    <s v="AD-6468-C"/>
    <x v="18"/>
    <x v="1"/>
    <x v="4"/>
    <x v="1"/>
    <n v="4"/>
    <n v="83.05"/>
    <n v="0"/>
    <n v="332.2"/>
    <n v="64.53"/>
    <n v="28"/>
    <x v="1"/>
    <s v="Credit Card"/>
  </r>
  <r>
    <n v="100089"/>
    <x v="503"/>
    <s v="AD-2899-D"/>
    <x v="12"/>
    <x v="0"/>
    <x v="0"/>
    <x v="1"/>
    <n v="1"/>
    <n v="153.49"/>
    <n v="0"/>
    <n v="153.49"/>
    <n v="41.94"/>
    <n v="28"/>
    <x v="1"/>
    <s v="Cash"/>
  </r>
  <r>
    <n v="101148"/>
    <x v="504"/>
    <s v="AD-8438-B"/>
    <x v="16"/>
    <x v="1"/>
    <x v="0"/>
    <x v="1"/>
    <n v="3"/>
    <n v="35.85"/>
    <n v="0"/>
    <n v="107.55"/>
    <n v="29.32"/>
    <n v="20"/>
    <x v="1"/>
    <s v="NetBanking"/>
  </r>
  <r>
    <n v="100498"/>
    <x v="505"/>
    <s v="AD-6172-D"/>
    <x v="18"/>
    <x v="1"/>
    <x v="1"/>
    <x v="1"/>
    <n v="4"/>
    <n v="88.15"/>
    <n v="40"/>
    <n v="211.56"/>
    <n v="49.01"/>
    <n v="24"/>
    <x v="1"/>
    <s v="UPI"/>
  </r>
  <r>
    <n v="100875"/>
    <x v="140"/>
    <s v="AD-2070-B"/>
    <x v="8"/>
    <x v="2"/>
    <x v="0"/>
    <x v="1"/>
    <n v="1"/>
    <n v="15.3"/>
    <n v="20"/>
    <n v="12.24"/>
    <n v="3.03"/>
    <n v="23"/>
    <x v="0"/>
    <s v="PayPal"/>
  </r>
  <r>
    <n v="100926"/>
    <x v="506"/>
    <s v="AD-2093-B"/>
    <x v="15"/>
    <x v="1"/>
    <x v="2"/>
    <x v="0"/>
    <n v="3"/>
    <n v="161.79"/>
    <n v="20"/>
    <n v="388.3"/>
    <n v="89.31"/>
    <n v="47"/>
    <x v="0"/>
    <s v="NetBanking"/>
  </r>
  <r>
    <n v="100998"/>
    <x v="507"/>
    <s v="AD-7451-D"/>
    <x v="13"/>
    <x v="0"/>
    <x v="2"/>
    <x v="1"/>
    <n v="2"/>
    <n v="112.59"/>
    <n v="10"/>
    <n v="202.66"/>
    <n v="50.69"/>
    <n v="27"/>
    <x v="1"/>
    <s v="Credit Card"/>
  </r>
  <r>
    <n v="100011"/>
    <x v="121"/>
    <s v="AD-2876-C"/>
    <x v="12"/>
    <x v="0"/>
    <x v="1"/>
    <x v="0"/>
    <n v="3"/>
    <n v="149.94"/>
    <n v="0"/>
    <n v="449.82"/>
    <n v="103.3"/>
    <n v="27"/>
    <x v="0"/>
    <s v="Credit Card"/>
  </r>
  <r>
    <n v="100396"/>
    <x v="424"/>
    <s v="AD-6428-C"/>
    <x v="13"/>
    <x v="0"/>
    <x v="4"/>
    <x v="0"/>
    <n v="1"/>
    <n v="127.11"/>
    <n v="0"/>
    <n v="127.11"/>
    <n v="31.68"/>
    <n v="17"/>
    <x v="0"/>
    <s v="Apple Pay"/>
  </r>
  <r>
    <n v="100754"/>
    <x v="423"/>
    <s v="AD-6504-D"/>
    <x v="12"/>
    <x v="0"/>
    <x v="1"/>
    <x v="0"/>
    <n v="6"/>
    <n v="142.44"/>
    <n v="0"/>
    <n v="854.64"/>
    <n v="222.55"/>
    <n v="24"/>
    <x v="1"/>
    <s v="UPI"/>
  </r>
  <r>
    <n v="100555"/>
    <x v="508"/>
    <s v="AD-1618-D"/>
    <x v="1"/>
    <x v="0"/>
    <x v="1"/>
    <x v="1"/>
    <n v="1"/>
    <n v="24.52"/>
    <n v="0"/>
    <n v="24.52"/>
    <n v="8.2100000000000009"/>
    <n v="30"/>
    <x v="0"/>
    <s v="Debit Card"/>
  </r>
  <r>
    <n v="100042"/>
    <x v="509"/>
    <s v="AD-6663-C"/>
    <x v="1"/>
    <x v="0"/>
    <x v="3"/>
    <x v="0"/>
    <n v="1"/>
    <n v="26.1"/>
    <n v="20"/>
    <n v="20.88"/>
    <n v="4.25"/>
    <n v="30"/>
    <x v="1"/>
    <s v="Apple Pay"/>
  </r>
  <r>
    <n v="100167"/>
    <x v="510"/>
    <s v="AD-2298-A"/>
    <x v="9"/>
    <x v="2"/>
    <x v="4"/>
    <x v="1"/>
    <n v="4"/>
    <n v="25.25"/>
    <n v="0"/>
    <n v="101"/>
    <n v="39.130000000000003"/>
    <n v="34"/>
    <x v="1"/>
    <s v="Credit Card"/>
  </r>
  <r>
    <n v="100416"/>
    <x v="511"/>
    <s v="AD-8835-D"/>
    <x v="13"/>
    <x v="0"/>
    <x v="1"/>
    <x v="3"/>
    <n v="2"/>
    <n v="126.91"/>
    <n v="20"/>
    <n v="203.06"/>
    <n v="41.1"/>
    <n v="41"/>
    <x v="1"/>
    <s v="Apple Pay"/>
  </r>
  <r>
    <n v="100576"/>
    <x v="512"/>
    <s v="AD-7837-B"/>
    <x v="12"/>
    <x v="0"/>
    <x v="4"/>
    <x v="0"/>
    <n v="3"/>
    <n v="118.15"/>
    <n v="0"/>
    <n v="354.45"/>
    <n v="102.3"/>
    <n v="42"/>
    <x v="0"/>
    <s v="UPI"/>
  </r>
  <r>
    <n v="100267"/>
    <x v="266"/>
    <s v="AD-2499-A"/>
    <x v="12"/>
    <x v="0"/>
    <x v="0"/>
    <x v="1"/>
    <n v="3"/>
    <n v="131.52000000000001"/>
    <n v="0"/>
    <n v="394.56"/>
    <n v="117.13"/>
    <n v="22"/>
    <x v="1"/>
    <s v="Debit Card"/>
  </r>
  <r>
    <n v="100807"/>
    <x v="323"/>
    <s v="AD-9248-A"/>
    <x v="18"/>
    <x v="1"/>
    <x v="0"/>
    <x v="2"/>
    <n v="4"/>
    <n v="84.54"/>
    <n v="5"/>
    <n v="321.25"/>
    <n v="78.11"/>
    <n v="22"/>
    <x v="1"/>
    <s v="Debit Card"/>
  </r>
  <r>
    <n v="100426"/>
    <x v="513"/>
    <s v="AD-6952-D"/>
    <x v="15"/>
    <x v="1"/>
    <x v="2"/>
    <x v="0"/>
    <n v="4"/>
    <n v="155.24"/>
    <n v="0"/>
    <n v="620.96"/>
    <n v="198.84"/>
    <n v="16"/>
    <x v="0"/>
    <s v="Google Pay"/>
  </r>
  <r>
    <n v="100690"/>
    <x v="514"/>
    <s v="AD-8412-D"/>
    <x v="9"/>
    <x v="2"/>
    <x v="1"/>
    <x v="0"/>
    <n v="3"/>
    <n v="19.559999999999999"/>
    <n v="0"/>
    <n v="58.68"/>
    <n v="22.62"/>
    <n v="25"/>
    <x v="1"/>
    <s v="Debit Card"/>
  </r>
  <r>
    <n v="100544"/>
    <x v="515"/>
    <s v="AD-9572-A"/>
    <x v="8"/>
    <x v="2"/>
    <x v="4"/>
    <x v="0"/>
    <n v="3"/>
    <n v="15.82"/>
    <n v="20"/>
    <n v="37.97"/>
    <n v="17.440000000000001"/>
    <n v="42"/>
    <x v="1"/>
    <s v="Debit Card"/>
  </r>
  <r>
    <n v="101122"/>
    <x v="516"/>
    <s v="AD-9097-C"/>
    <x v="19"/>
    <x v="1"/>
    <x v="4"/>
    <x v="0"/>
    <n v="2"/>
    <n v="146.54"/>
    <n v="10"/>
    <n v="263.77"/>
    <n v="71.62"/>
    <n v="33"/>
    <x v="1"/>
    <s v="Debit Card"/>
  </r>
  <r>
    <n v="100674"/>
    <x v="517"/>
    <s v="AD-3584-A"/>
    <x v="7"/>
    <x v="1"/>
    <x v="2"/>
    <x v="0"/>
    <n v="3"/>
    <n v="170.01"/>
    <n v="5"/>
    <n v="484.53"/>
    <n v="126.2"/>
    <n v="34"/>
    <x v="1"/>
    <s v="Apple Pay"/>
  </r>
  <r>
    <n v="100689"/>
    <x v="518"/>
    <s v="AD-7844-A"/>
    <x v="17"/>
    <x v="2"/>
    <x v="2"/>
    <x v="3"/>
    <n v="1"/>
    <n v="39.29"/>
    <n v="20"/>
    <n v="31.43"/>
    <n v="10.53"/>
    <n v="31"/>
    <x v="0"/>
    <s v="Credit Card"/>
  </r>
  <r>
    <n v="101054"/>
    <x v="519"/>
    <s v="AD-7458-B"/>
    <x v="9"/>
    <x v="2"/>
    <x v="4"/>
    <x v="0"/>
    <n v="3"/>
    <n v="22.27"/>
    <n v="0"/>
    <n v="66.81"/>
    <n v="23.44"/>
    <n v="40"/>
    <x v="1"/>
    <s v="PayPal"/>
  </r>
  <r>
    <n v="101176"/>
    <x v="234"/>
    <s v="AD-8673-C"/>
    <x v="4"/>
    <x v="2"/>
    <x v="1"/>
    <x v="1"/>
    <n v="3"/>
    <n v="60.35"/>
    <n v="10"/>
    <n v="162.94999999999999"/>
    <n v="64.819999999999993"/>
    <n v="23"/>
    <x v="1"/>
    <s v="Cash"/>
  </r>
  <r>
    <n v="101032"/>
    <x v="520"/>
    <s v="AD-5317-B"/>
    <x v="4"/>
    <x v="2"/>
    <x v="4"/>
    <x v="1"/>
    <n v="4"/>
    <n v="60.65"/>
    <n v="20"/>
    <n v="194.08"/>
    <n v="73.94"/>
    <n v="34"/>
    <x v="1"/>
    <s v="Debit Card"/>
  </r>
  <r>
    <n v="101034"/>
    <x v="521"/>
    <s v="AD-1289-B"/>
    <x v="18"/>
    <x v="1"/>
    <x v="4"/>
    <x v="3"/>
    <n v="2"/>
    <n v="90.12"/>
    <n v="10"/>
    <n v="162.22"/>
    <n v="43.68"/>
    <n v="38"/>
    <x v="0"/>
    <s v="Apple Pay"/>
  </r>
  <r>
    <n v="100257"/>
    <x v="522"/>
    <s v="AD-6807-C"/>
    <x v="7"/>
    <x v="1"/>
    <x v="4"/>
    <x v="0"/>
    <n v="1"/>
    <n v="126.83"/>
    <n v="10"/>
    <n v="114.15"/>
    <n v="39.17"/>
    <n v="23"/>
    <x v="1"/>
    <s v="NetBanking"/>
  </r>
  <r>
    <n v="100335"/>
    <x v="523"/>
    <s v="AD-2226-A"/>
    <x v="11"/>
    <x v="0"/>
    <x v="0"/>
    <x v="1"/>
    <n v="6"/>
    <n v="24.23"/>
    <n v="5"/>
    <n v="138.11000000000001"/>
    <n v="37.799999999999997"/>
    <n v="28"/>
    <x v="1"/>
    <s v="Apple Pay"/>
  </r>
  <r>
    <n v="100015"/>
    <x v="524"/>
    <s v="AD-9727-B"/>
    <x v="5"/>
    <x v="0"/>
    <x v="3"/>
    <x v="0"/>
    <n v="4"/>
    <n v="68.33"/>
    <n v="0"/>
    <n v="273.32"/>
    <n v="100.77"/>
    <n v="25"/>
    <x v="1"/>
    <s v="Debit Card"/>
  </r>
  <r>
    <n v="100901"/>
    <x v="461"/>
    <s v="AD-1872-C"/>
    <x v="19"/>
    <x v="1"/>
    <x v="2"/>
    <x v="0"/>
    <n v="1"/>
    <n v="116.18"/>
    <n v="0"/>
    <n v="116.18"/>
    <n v="34.49"/>
    <n v="31"/>
    <x v="1"/>
    <s v="UPI"/>
  </r>
  <r>
    <n v="100324"/>
    <x v="337"/>
    <s v="AD-5456-A"/>
    <x v="1"/>
    <x v="0"/>
    <x v="4"/>
    <x v="2"/>
    <n v="1"/>
    <n v="24.62"/>
    <n v="0"/>
    <n v="24.62"/>
    <n v="5.5"/>
    <n v="32"/>
    <x v="1"/>
    <s v="Apple Pay"/>
  </r>
  <r>
    <n v="100607"/>
    <x v="410"/>
    <s v="AD-8888-B"/>
    <x v="13"/>
    <x v="0"/>
    <x v="1"/>
    <x v="1"/>
    <n v="3"/>
    <n v="129"/>
    <n v="0"/>
    <n v="387"/>
    <n v="112.92"/>
    <n v="23"/>
    <x v="1"/>
    <s v="PayPal"/>
  </r>
  <r>
    <n v="101053"/>
    <x v="525"/>
    <s v="AD-3885-B"/>
    <x v="4"/>
    <x v="2"/>
    <x v="2"/>
    <x v="0"/>
    <n v="4"/>
    <n v="59.53"/>
    <n v="5"/>
    <n v="226.21"/>
    <n v="62.92"/>
    <n v="36"/>
    <x v="1"/>
    <s v="PayPal"/>
  </r>
  <r>
    <n v="100790"/>
    <x v="526"/>
    <s v="AD-8046-C"/>
    <x v="13"/>
    <x v="0"/>
    <x v="4"/>
    <x v="2"/>
    <n v="4"/>
    <n v="137.82"/>
    <n v="10"/>
    <n v="496.15"/>
    <n v="124.58"/>
    <n v="16"/>
    <x v="0"/>
    <s v="Cash"/>
  </r>
  <r>
    <n v="100222"/>
    <x v="51"/>
    <s v="AD-4159-A"/>
    <x v="8"/>
    <x v="2"/>
    <x v="2"/>
    <x v="0"/>
    <n v="1"/>
    <n v="15.13"/>
    <n v="0"/>
    <n v="15.13"/>
    <n v="4.93"/>
    <n v="28"/>
    <x v="1"/>
    <s v="NetBanking"/>
  </r>
  <r>
    <n v="100179"/>
    <x v="527"/>
    <s v="AD-3730-D"/>
    <x v="18"/>
    <x v="1"/>
    <x v="0"/>
    <x v="0"/>
    <n v="3"/>
    <n v="89.31"/>
    <n v="10"/>
    <n v="241.14"/>
    <n v="71.790000000000006"/>
    <n v="31"/>
    <x v="0"/>
    <s v="Apple Pay"/>
  </r>
  <r>
    <n v="100099"/>
    <x v="528"/>
    <s v="AD-6546-D"/>
    <x v="14"/>
    <x v="1"/>
    <x v="0"/>
    <x v="0"/>
    <n v="2"/>
    <n v="212.72"/>
    <n v="5"/>
    <n v="404.17"/>
    <n v="70.67"/>
    <n v="35"/>
    <x v="1"/>
    <s v="NetBanking"/>
  </r>
  <r>
    <n v="100521"/>
    <x v="529"/>
    <s v="AD-8801-D"/>
    <x v="10"/>
    <x v="2"/>
    <x v="4"/>
    <x v="1"/>
    <n v="3"/>
    <n v="42.91"/>
    <n v="0"/>
    <n v="128.72999999999999"/>
    <n v="47.84"/>
    <n v="25"/>
    <x v="0"/>
    <s v="Cash"/>
  </r>
  <r>
    <n v="100022"/>
    <x v="530"/>
    <s v="AD-7912-B"/>
    <x v="13"/>
    <x v="0"/>
    <x v="4"/>
    <x v="0"/>
    <n v="2"/>
    <n v="118.15"/>
    <n v="0"/>
    <n v="236.3"/>
    <n v="70.44"/>
    <n v="39"/>
    <x v="1"/>
    <s v="PayPal"/>
  </r>
  <r>
    <n v="100356"/>
    <x v="272"/>
    <s v="AD-3854-C"/>
    <x v="7"/>
    <x v="1"/>
    <x v="1"/>
    <x v="1"/>
    <n v="2"/>
    <n v="166.99"/>
    <n v="0"/>
    <n v="333.98"/>
    <n v="100.3"/>
    <n v="29"/>
    <x v="1"/>
    <s v="Cash"/>
  </r>
  <r>
    <n v="100733"/>
    <x v="531"/>
    <s v="AD-9664-B"/>
    <x v="10"/>
    <x v="2"/>
    <x v="0"/>
    <x v="1"/>
    <n v="2"/>
    <n v="44.47"/>
    <n v="0"/>
    <n v="88.94"/>
    <n v="34.04"/>
    <n v="20"/>
    <x v="1"/>
    <s v="Credit Card"/>
  </r>
  <r>
    <n v="101093"/>
    <x v="96"/>
    <s v="AD-5306-A"/>
    <x v="10"/>
    <x v="2"/>
    <x v="3"/>
    <x v="0"/>
    <n v="1"/>
    <n v="47.95"/>
    <n v="0"/>
    <n v="47.95"/>
    <n v="18.079999999999998"/>
    <n v="44"/>
    <x v="0"/>
    <s v="Google Pay"/>
  </r>
  <r>
    <n v="101111"/>
    <x v="532"/>
    <s v="AD-4204-D"/>
    <x v="0"/>
    <x v="0"/>
    <x v="4"/>
    <x v="1"/>
    <n v="3"/>
    <n v="50.32"/>
    <n v="0"/>
    <n v="150.96"/>
    <n v="48.36"/>
    <n v="31"/>
    <x v="0"/>
    <s v="Debit Card"/>
  </r>
  <r>
    <n v="100611"/>
    <x v="452"/>
    <s v="AD-4893-C"/>
    <x v="0"/>
    <x v="0"/>
    <x v="1"/>
    <x v="0"/>
    <n v="3"/>
    <n v="60.16"/>
    <n v="0"/>
    <n v="180.48"/>
    <n v="42.3"/>
    <n v="32"/>
    <x v="1"/>
    <s v="Google Pay"/>
  </r>
  <r>
    <n v="101009"/>
    <x v="533"/>
    <s v="AD-5483-A"/>
    <x v="13"/>
    <x v="0"/>
    <x v="1"/>
    <x v="0"/>
    <n v="2"/>
    <n v="99.09"/>
    <n v="0"/>
    <n v="198.18"/>
    <n v="56.71"/>
    <n v="31"/>
    <x v="1"/>
    <s v="UPI"/>
  </r>
  <r>
    <n v="100340"/>
    <x v="534"/>
    <s v="AD-5262-B"/>
    <x v="2"/>
    <x v="1"/>
    <x v="3"/>
    <x v="0"/>
    <n v="1"/>
    <n v="96.62"/>
    <n v="0"/>
    <n v="96.62"/>
    <n v="25.35"/>
    <n v="30"/>
    <x v="1"/>
    <s v="NetBanking"/>
  </r>
  <r>
    <n v="100431"/>
    <x v="238"/>
    <s v="AD-9328-B"/>
    <x v="9"/>
    <x v="2"/>
    <x v="0"/>
    <x v="1"/>
    <n v="3"/>
    <n v="20.27"/>
    <n v="10"/>
    <n v="54.73"/>
    <n v="23.65"/>
    <n v="16"/>
    <x v="1"/>
    <s v="Google Pay"/>
  </r>
  <r>
    <n v="100961"/>
    <x v="22"/>
    <s v="AD-2456-A"/>
    <x v="0"/>
    <x v="0"/>
    <x v="1"/>
    <x v="2"/>
    <n v="1"/>
    <n v="54.94"/>
    <n v="0"/>
    <n v="54.94"/>
    <n v="17.32"/>
    <n v="35"/>
    <x v="0"/>
    <s v="Apple Pay"/>
  </r>
  <r>
    <n v="100217"/>
    <x v="331"/>
    <s v="AD-4814-A"/>
    <x v="19"/>
    <x v="1"/>
    <x v="4"/>
    <x v="0"/>
    <n v="2"/>
    <n v="130.16"/>
    <n v="0"/>
    <n v="260.32"/>
    <n v="98.85"/>
    <n v="23"/>
    <x v="0"/>
    <s v="UPI"/>
  </r>
  <r>
    <n v="100203"/>
    <x v="535"/>
    <s v="AD-3108-A"/>
    <x v="12"/>
    <x v="0"/>
    <x v="0"/>
    <x v="0"/>
    <n v="3"/>
    <n v="143.88"/>
    <n v="0"/>
    <n v="431.64"/>
    <n v="66.599999999999994"/>
    <n v="32"/>
    <x v="2"/>
    <s v="Debit Card"/>
  </r>
  <r>
    <n v="100905"/>
    <x v="175"/>
    <s v="AD-3575-C"/>
    <x v="16"/>
    <x v="1"/>
    <x v="4"/>
    <x v="0"/>
    <n v="2"/>
    <n v="33.17"/>
    <n v="5"/>
    <n v="63.02"/>
    <n v="21.07"/>
    <n v="28"/>
    <x v="1"/>
    <s v="Apple Pay"/>
  </r>
  <r>
    <n v="100922"/>
    <x v="154"/>
    <s v="AD-8302-A"/>
    <x v="16"/>
    <x v="1"/>
    <x v="0"/>
    <x v="0"/>
    <n v="4"/>
    <n v="38.78"/>
    <n v="0"/>
    <n v="155.12"/>
    <n v="56.56"/>
    <n v="43"/>
    <x v="1"/>
    <s v="PayPal"/>
  </r>
  <r>
    <n v="100093"/>
    <x v="485"/>
    <s v="AD-9337-C"/>
    <x v="18"/>
    <x v="1"/>
    <x v="4"/>
    <x v="2"/>
    <n v="2"/>
    <n v="68.290000000000006"/>
    <n v="5"/>
    <n v="129.75"/>
    <n v="37.71"/>
    <n v="29"/>
    <x v="1"/>
    <s v="NetBanking"/>
  </r>
  <r>
    <n v="100910"/>
    <x v="536"/>
    <s v="AD-3258-C"/>
    <x v="13"/>
    <x v="0"/>
    <x v="0"/>
    <x v="1"/>
    <n v="4"/>
    <n v="106.89"/>
    <n v="40"/>
    <n v="256.54000000000002"/>
    <n v="60.89"/>
    <n v="25"/>
    <x v="0"/>
    <s v="UPI"/>
  </r>
  <r>
    <n v="100068"/>
    <x v="537"/>
    <s v="AD-5569-D"/>
    <x v="4"/>
    <x v="2"/>
    <x v="0"/>
    <x v="0"/>
    <n v="2"/>
    <n v="62.36"/>
    <n v="0"/>
    <n v="124.72"/>
    <n v="41.93"/>
    <n v="27"/>
    <x v="1"/>
    <s v="Debit Card"/>
  </r>
  <r>
    <n v="100894"/>
    <x v="483"/>
    <s v="AD-4363-D"/>
    <x v="19"/>
    <x v="1"/>
    <x v="1"/>
    <x v="1"/>
    <n v="4"/>
    <n v="118.61"/>
    <n v="20"/>
    <n v="379.55"/>
    <n v="53.58"/>
    <n v="52"/>
    <x v="0"/>
    <s v="Apple Pay"/>
  </r>
  <r>
    <n v="100284"/>
    <x v="538"/>
    <s v="AD-6225-A"/>
    <x v="16"/>
    <x v="1"/>
    <x v="1"/>
    <x v="0"/>
    <n v="4"/>
    <n v="33.42"/>
    <n v="0"/>
    <n v="133.68"/>
    <n v="41.34"/>
    <n v="38"/>
    <x v="0"/>
    <s v="Google Pay"/>
  </r>
  <r>
    <n v="100696"/>
    <x v="539"/>
    <s v="AD-3267-C"/>
    <x v="15"/>
    <x v="1"/>
    <x v="4"/>
    <x v="1"/>
    <n v="5"/>
    <n v="160.76"/>
    <n v="5"/>
    <n v="763.61"/>
    <n v="165.24"/>
    <n v="27"/>
    <x v="1"/>
    <s v="UPI"/>
  </r>
  <r>
    <n v="100085"/>
    <x v="25"/>
    <s v="AD-6280-C"/>
    <x v="1"/>
    <x v="0"/>
    <x v="1"/>
    <x v="0"/>
    <n v="1"/>
    <n v="24.85"/>
    <n v="0"/>
    <n v="24.85"/>
    <n v="7.5"/>
    <n v="22"/>
    <x v="1"/>
    <s v="Apple Pay"/>
  </r>
  <r>
    <n v="100434"/>
    <x v="310"/>
    <s v="AD-4560-B"/>
    <x v="4"/>
    <x v="2"/>
    <x v="2"/>
    <x v="1"/>
    <n v="2"/>
    <n v="65.05"/>
    <n v="0"/>
    <n v="130.1"/>
    <n v="33.840000000000003"/>
    <n v="45"/>
    <x v="0"/>
    <s v="Cash"/>
  </r>
  <r>
    <n v="100796"/>
    <x v="441"/>
    <s v="AD-2998-D"/>
    <x v="2"/>
    <x v="1"/>
    <x v="1"/>
    <x v="0"/>
    <n v="3"/>
    <n v="98.75"/>
    <n v="20"/>
    <n v="237"/>
    <n v="70.42"/>
    <n v="38"/>
    <x v="1"/>
    <s v="NetBanking"/>
  </r>
  <r>
    <n v="100153"/>
    <x v="308"/>
    <s v="AD-2079-C"/>
    <x v="4"/>
    <x v="2"/>
    <x v="0"/>
    <x v="0"/>
    <n v="5"/>
    <n v="50.74"/>
    <n v="0"/>
    <n v="253.7"/>
    <n v="85.18"/>
    <n v="38"/>
    <x v="0"/>
    <s v="Cash"/>
  </r>
  <r>
    <n v="100075"/>
    <x v="76"/>
    <s v="AD-5494-A"/>
    <x v="16"/>
    <x v="1"/>
    <x v="1"/>
    <x v="0"/>
    <n v="3"/>
    <n v="40.130000000000003"/>
    <n v="5"/>
    <n v="114.37"/>
    <n v="33.89"/>
    <n v="27"/>
    <x v="0"/>
    <s v="PayPal"/>
  </r>
  <r>
    <n v="101042"/>
    <x v="380"/>
    <s v="AD-6996-D"/>
    <x v="14"/>
    <x v="1"/>
    <x v="0"/>
    <x v="0"/>
    <n v="1"/>
    <n v="224.81"/>
    <n v="20"/>
    <n v="179.85"/>
    <n v="44.98"/>
    <n v="20"/>
    <x v="0"/>
    <s v="Cash"/>
  </r>
  <r>
    <n v="100580"/>
    <x v="350"/>
    <s v="AD-5970-D"/>
    <x v="14"/>
    <x v="1"/>
    <x v="0"/>
    <x v="2"/>
    <n v="2"/>
    <n v="246.33"/>
    <n v="0"/>
    <n v="492.66"/>
    <n v="136.07"/>
    <n v="23"/>
    <x v="1"/>
    <s v="Apple Pay"/>
  </r>
  <r>
    <n v="100446"/>
    <x v="540"/>
    <s v="AD-9691-D"/>
    <x v="11"/>
    <x v="0"/>
    <x v="4"/>
    <x v="0"/>
    <n v="2"/>
    <n v="29.29"/>
    <n v="20"/>
    <n v="46.86"/>
    <n v="11.64"/>
    <n v="19"/>
    <x v="1"/>
    <s v="UPI"/>
  </r>
  <r>
    <n v="100703"/>
    <x v="85"/>
    <s v="AD-8503-C"/>
    <x v="17"/>
    <x v="2"/>
    <x v="0"/>
    <x v="0"/>
    <n v="4"/>
    <n v="38.35"/>
    <n v="5"/>
    <n v="145.72999999999999"/>
    <n v="37.24"/>
    <n v="23"/>
    <x v="0"/>
    <s v="Google Pay"/>
  </r>
  <r>
    <n v="100188"/>
    <x v="328"/>
    <s v="AD-8657-B"/>
    <x v="16"/>
    <x v="1"/>
    <x v="4"/>
    <x v="1"/>
    <n v="1"/>
    <n v="36.47"/>
    <n v="0"/>
    <n v="36.47"/>
    <n v="14.19"/>
    <n v="31"/>
    <x v="1"/>
    <s v="Cash"/>
  </r>
  <r>
    <n v="100271"/>
    <x v="251"/>
    <s v="AD-8121-C"/>
    <x v="12"/>
    <x v="0"/>
    <x v="4"/>
    <x v="0"/>
    <n v="4"/>
    <n v="136.9"/>
    <n v="20"/>
    <n v="438.08"/>
    <n v="118.27"/>
    <n v="32"/>
    <x v="1"/>
    <s v="PayPal"/>
  </r>
  <r>
    <n v="100236"/>
    <x v="29"/>
    <s v="AD-5888-D"/>
    <x v="8"/>
    <x v="2"/>
    <x v="4"/>
    <x v="3"/>
    <n v="1"/>
    <n v="13.05"/>
    <n v="5"/>
    <n v="12.4"/>
    <n v="4.58"/>
    <n v="25"/>
    <x v="0"/>
    <s v="Credit Card"/>
  </r>
  <r>
    <n v="100487"/>
    <x v="541"/>
    <s v="AD-4764-D"/>
    <x v="11"/>
    <x v="0"/>
    <x v="1"/>
    <x v="0"/>
    <n v="3"/>
    <n v="30.51"/>
    <n v="0"/>
    <n v="91.53"/>
    <n v="19.71"/>
    <n v="24"/>
    <x v="0"/>
    <s v="Debit Card"/>
  </r>
  <r>
    <n v="101159"/>
    <x v="542"/>
    <s v="AD-1341-B"/>
    <x v="13"/>
    <x v="0"/>
    <x v="4"/>
    <x v="0"/>
    <n v="4"/>
    <n v="128.41999999999999"/>
    <n v="0"/>
    <n v="513.67999999999995"/>
    <n v="141.94999999999999"/>
    <n v="24"/>
    <x v="1"/>
    <s v="Cash"/>
  </r>
  <r>
    <n v="100559"/>
    <x v="480"/>
    <s v="AD-1886-C"/>
    <x v="5"/>
    <x v="0"/>
    <x v="2"/>
    <x v="3"/>
    <n v="1"/>
    <n v="81.650000000000006"/>
    <n v="0"/>
    <n v="81.650000000000006"/>
    <n v="24.12"/>
    <n v="20"/>
    <x v="0"/>
    <s v="Apple Pay"/>
  </r>
  <r>
    <n v="100117"/>
    <x v="543"/>
    <s v="AD-3531-D"/>
    <x v="8"/>
    <x v="2"/>
    <x v="1"/>
    <x v="1"/>
    <n v="3"/>
    <n v="16.8"/>
    <n v="10"/>
    <n v="45.36"/>
    <n v="15.54"/>
    <n v="51"/>
    <x v="0"/>
    <s v="Apple Pay"/>
  </r>
  <r>
    <n v="100637"/>
    <x v="134"/>
    <s v="AD-3945-D"/>
    <x v="14"/>
    <x v="1"/>
    <x v="1"/>
    <x v="1"/>
    <n v="1"/>
    <n v="205.68"/>
    <n v="0"/>
    <n v="205.68"/>
    <n v="66.19"/>
    <n v="16"/>
    <x v="0"/>
    <s v="Apple Pay"/>
  </r>
  <r>
    <n v="101127"/>
    <x v="448"/>
    <s v="AD-5384-C"/>
    <x v="16"/>
    <x v="1"/>
    <x v="4"/>
    <x v="0"/>
    <n v="6"/>
    <n v="40.479999999999997"/>
    <n v="10"/>
    <n v="218.59"/>
    <n v="47.7"/>
    <n v="37"/>
    <x v="0"/>
    <s v="PayPal"/>
  </r>
  <r>
    <n v="100750"/>
    <x v="527"/>
    <s v="AD-6591-D"/>
    <x v="15"/>
    <x v="1"/>
    <x v="4"/>
    <x v="2"/>
    <n v="1"/>
    <n v="168.9"/>
    <n v="10"/>
    <n v="152.01"/>
    <n v="45.82"/>
    <n v="22"/>
    <x v="1"/>
    <s v="Credit Card"/>
  </r>
  <r>
    <n v="100512"/>
    <x v="350"/>
    <s v="AD-6638-A"/>
    <x v="18"/>
    <x v="1"/>
    <x v="1"/>
    <x v="0"/>
    <n v="1"/>
    <n v="82.72"/>
    <n v="5"/>
    <n v="78.58"/>
    <n v="24.92"/>
    <n v="34"/>
    <x v="0"/>
    <s v="NetBanking"/>
  </r>
  <r>
    <n v="100633"/>
    <x v="223"/>
    <s v="AD-2797-C"/>
    <x v="11"/>
    <x v="0"/>
    <x v="3"/>
    <x v="0"/>
    <n v="2"/>
    <n v="30.33"/>
    <n v="0"/>
    <n v="60.66"/>
    <n v="16.72"/>
    <n v="29"/>
    <x v="0"/>
    <s v="Cash"/>
  </r>
  <r>
    <n v="100785"/>
    <x v="58"/>
    <s v="AD-4476-D"/>
    <x v="3"/>
    <x v="2"/>
    <x v="1"/>
    <x v="2"/>
    <n v="4"/>
    <n v="18.260000000000002"/>
    <n v="10"/>
    <n v="65.739999999999995"/>
    <n v="14.12"/>
    <n v="34"/>
    <x v="0"/>
    <s v="Apple Pay"/>
  </r>
  <r>
    <n v="101006"/>
    <x v="432"/>
    <s v="AD-2156-C"/>
    <x v="3"/>
    <x v="2"/>
    <x v="4"/>
    <x v="0"/>
    <n v="5"/>
    <n v="18.62"/>
    <n v="10"/>
    <n v="83.79"/>
    <n v="31.99"/>
    <n v="25"/>
    <x v="0"/>
    <s v="UPI"/>
  </r>
  <r>
    <n v="100852"/>
    <x v="74"/>
    <s v="AD-2450-B"/>
    <x v="12"/>
    <x v="0"/>
    <x v="4"/>
    <x v="1"/>
    <n v="2"/>
    <n v="144.15"/>
    <n v="5"/>
    <n v="273.88"/>
    <n v="86.29"/>
    <n v="33"/>
    <x v="1"/>
    <s v="NetBanking"/>
  </r>
  <r>
    <n v="100126"/>
    <x v="428"/>
    <s v="AD-2204-A"/>
    <x v="9"/>
    <x v="2"/>
    <x v="1"/>
    <x v="0"/>
    <n v="4"/>
    <n v="20.75"/>
    <n v="0"/>
    <n v="83"/>
    <n v="28.01"/>
    <n v="39"/>
    <x v="0"/>
    <s v="Google Pay"/>
  </r>
  <r>
    <n v="100116"/>
    <x v="544"/>
    <s v="AD-2902-A"/>
    <x v="0"/>
    <x v="0"/>
    <x v="4"/>
    <x v="0"/>
    <n v="3"/>
    <n v="61.1"/>
    <n v="0"/>
    <n v="183.3"/>
    <n v="62.42"/>
    <n v="16"/>
    <x v="1"/>
    <s v="Google Pay"/>
  </r>
  <r>
    <n v="100473"/>
    <x v="366"/>
    <s v="AD-4773-D"/>
    <x v="2"/>
    <x v="1"/>
    <x v="4"/>
    <x v="0"/>
    <n v="6"/>
    <n v="101.44"/>
    <n v="0"/>
    <n v="608.64"/>
    <n v="152.53"/>
    <n v="34"/>
    <x v="1"/>
    <s v="Debit Card"/>
  </r>
  <r>
    <n v="100740"/>
    <x v="545"/>
    <s v="AD-2060-C"/>
    <x v="12"/>
    <x v="0"/>
    <x v="3"/>
    <x v="1"/>
    <n v="1"/>
    <n v="121.08"/>
    <n v="0"/>
    <n v="121.08"/>
    <n v="35.31"/>
    <n v="25"/>
    <x v="0"/>
    <s v="PayPal"/>
  </r>
  <r>
    <n v="100992"/>
    <x v="546"/>
    <s v="AD-7169-D"/>
    <x v="6"/>
    <x v="1"/>
    <x v="2"/>
    <x v="0"/>
    <n v="2"/>
    <n v="184.09"/>
    <n v="5"/>
    <n v="349.77"/>
    <n v="109.44"/>
    <n v="17"/>
    <x v="0"/>
    <s v="PayPal"/>
  </r>
  <r>
    <n v="100057"/>
    <x v="547"/>
    <s v="AD-8999-B"/>
    <x v="11"/>
    <x v="0"/>
    <x v="1"/>
    <x v="2"/>
    <n v="4"/>
    <n v="31.46"/>
    <n v="5"/>
    <n v="119.55"/>
    <n v="37.4"/>
    <n v="28"/>
    <x v="0"/>
    <s v="UPI"/>
  </r>
  <r>
    <n v="100603"/>
    <x v="210"/>
    <s v="AD-1392-D"/>
    <x v="7"/>
    <x v="1"/>
    <x v="4"/>
    <x v="0"/>
    <n v="3"/>
    <n v="169.7"/>
    <n v="0"/>
    <n v="509.1"/>
    <n v="180.04"/>
    <n v="32"/>
    <x v="1"/>
    <s v="Debit Card"/>
  </r>
  <r>
    <n v="100786"/>
    <x v="548"/>
    <s v="AD-4847-D"/>
    <x v="4"/>
    <x v="2"/>
    <x v="4"/>
    <x v="0"/>
    <n v="2"/>
    <n v="56.76"/>
    <n v="0"/>
    <n v="113.52"/>
    <n v="24.97"/>
    <n v="23"/>
    <x v="1"/>
    <s v="Cash"/>
  </r>
  <r>
    <n v="100970"/>
    <x v="549"/>
    <s v="AD-7583-B"/>
    <x v="19"/>
    <x v="1"/>
    <x v="1"/>
    <x v="0"/>
    <n v="2"/>
    <n v="116.46"/>
    <n v="10"/>
    <n v="209.63"/>
    <n v="43.47"/>
    <n v="31"/>
    <x v="1"/>
    <s v="Google Pay"/>
  </r>
  <r>
    <n v="100656"/>
    <x v="293"/>
    <s v="AD-5528-D"/>
    <x v="18"/>
    <x v="1"/>
    <x v="4"/>
    <x v="1"/>
    <n v="5"/>
    <n v="80.94"/>
    <n v="0"/>
    <n v="404.7"/>
    <n v="143.22"/>
    <n v="23"/>
    <x v="0"/>
    <s v="Google Pay"/>
  </r>
  <r>
    <n v="100902"/>
    <x v="550"/>
    <s v="AD-8711-A"/>
    <x v="14"/>
    <x v="1"/>
    <x v="3"/>
    <x v="2"/>
    <n v="3"/>
    <n v="221.49"/>
    <n v="0"/>
    <n v="664.47"/>
    <n v="225.85"/>
    <n v="26"/>
    <x v="1"/>
    <s v="Debit Card"/>
  </r>
  <r>
    <n v="100921"/>
    <x v="551"/>
    <s v="AD-3601-C"/>
    <x v="16"/>
    <x v="1"/>
    <x v="4"/>
    <x v="0"/>
    <n v="3"/>
    <n v="29.79"/>
    <n v="10"/>
    <n v="80.430000000000007"/>
    <n v="28.4"/>
    <n v="26"/>
    <x v="0"/>
    <s v="Google Pay"/>
  </r>
  <r>
    <n v="100105"/>
    <x v="27"/>
    <s v="AD-8237-C"/>
    <x v="6"/>
    <x v="1"/>
    <x v="1"/>
    <x v="0"/>
    <n v="3"/>
    <n v="171.69"/>
    <n v="0"/>
    <n v="515.07000000000005"/>
    <n v="135.88999999999999"/>
    <n v="49"/>
    <x v="1"/>
    <s v="Debit Card"/>
  </r>
  <r>
    <n v="100635"/>
    <x v="306"/>
    <s v="AD-7835-B"/>
    <x v="8"/>
    <x v="2"/>
    <x v="4"/>
    <x v="0"/>
    <n v="1"/>
    <n v="15.38"/>
    <n v="20"/>
    <n v="12.3"/>
    <n v="6.01"/>
    <n v="26"/>
    <x v="0"/>
    <s v="Cash"/>
  </r>
  <r>
    <n v="100369"/>
    <x v="552"/>
    <s v="AD-5315-B"/>
    <x v="11"/>
    <x v="0"/>
    <x v="1"/>
    <x v="0"/>
    <n v="5"/>
    <n v="30.69"/>
    <n v="0"/>
    <n v="153.44999999999999"/>
    <n v="53.7"/>
    <n v="28"/>
    <x v="1"/>
    <s v="Google Pay"/>
  </r>
  <r>
    <n v="100268"/>
    <x v="25"/>
    <s v="AD-8353-D"/>
    <x v="0"/>
    <x v="0"/>
    <x v="0"/>
    <x v="0"/>
    <n v="2"/>
    <n v="57.82"/>
    <n v="5"/>
    <n v="109.86"/>
    <n v="38.83"/>
    <n v="41"/>
    <x v="1"/>
    <s v="Apple Pay"/>
  </r>
  <r>
    <n v="100655"/>
    <x v="185"/>
    <s v="AD-7159-B"/>
    <x v="19"/>
    <x v="1"/>
    <x v="0"/>
    <x v="0"/>
    <n v="6"/>
    <n v="116.35"/>
    <n v="0"/>
    <n v="698.1"/>
    <n v="156.12"/>
    <n v="16"/>
    <x v="0"/>
    <s v="PayPal"/>
  </r>
  <r>
    <n v="100046"/>
    <x v="467"/>
    <s v="AD-5930-D"/>
    <x v="0"/>
    <x v="0"/>
    <x v="4"/>
    <x v="1"/>
    <n v="4"/>
    <n v="62.77"/>
    <n v="0"/>
    <n v="251.08"/>
    <n v="76.400000000000006"/>
    <n v="46"/>
    <x v="1"/>
    <s v="PayPal"/>
  </r>
  <r>
    <n v="100349"/>
    <x v="553"/>
    <s v="AD-3615-A"/>
    <x v="1"/>
    <x v="0"/>
    <x v="3"/>
    <x v="1"/>
    <n v="5"/>
    <n v="26.47"/>
    <n v="10"/>
    <n v="119.11"/>
    <n v="24.82"/>
    <n v="37"/>
    <x v="0"/>
    <s v="UPI"/>
  </r>
  <r>
    <n v="100773"/>
    <x v="554"/>
    <s v="AD-7656-A"/>
    <x v="5"/>
    <x v="0"/>
    <x v="2"/>
    <x v="0"/>
    <n v="3"/>
    <n v="70.010000000000005"/>
    <n v="5"/>
    <n v="199.53"/>
    <n v="57.71"/>
    <n v="29"/>
    <x v="1"/>
    <s v="Cash"/>
  </r>
  <r>
    <n v="100195"/>
    <x v="458"/>
    <s v="AD-5873-D"/>
    <x v="8"/>
    <x v="2"/>
    <x v="3"/>
    <x v="1"/>
    <n v="3"/>
    <n v="15.14"/>
    <n v="5"/>
    <n v="43.15"/>
    <n v="17.54"/>
    <n v="29"/>
    <x v="0"/>
    <s v="Apple Pay"/>
  </r>
  <r>
    <n v="100102"/>
    <x v="555"/>
    <s v="AD-5806-C"/>
    <x v="18"/>
    <x v="1"/>
    <x v="0"/>
    <x v="2"/>
    <n v="2"/>
    <n v="79.81"/>
    <n v="5"/>
    <n v="151.63999999999999"/>
    <n v="31.81"/>
    <n v="32"/>
    <x v="1"/>
    <s v="Credit Card"/>
  </r>
  <r>
    <n v="100004"/>
    <x v="556"/>
    <s v="AD-4150-A"/>
    <x v="18"/>
    <x v="1"/>
    <x v="1"/>
    <x v="1"/>
    <n v="2"/>
    <n v="85.46"/>
    <n v="0"/>
    <n v="170.92"/>
    <n v="39.1"/>
    <n v="20"/>
    <x v="0"/>
    <s v="Cash"/>
  </r>
  <r>
    <n v="100619"/>
    <x v="333"/>
    <s v="AD-1831-B"/>
    <x v="0"/>
    <x v="0"/>
    <x v="4"/>
    <x v="0"/>
    <n v="3"/>
    <n v="47.35"/>
    <n v="0"/>
    <n v="142.05000000000001"/>
    <n v="39.31"/>
    <n v="22"/>
    <x v="0"/>
    <s v="Google Pay"/>
  </r>
  <r>
    <n v="100990"/>
    <x v="523"/>
    <s v="AD-5981-D"/>
    <x v="8"/>
    <x v="2"/>
    <x v="4"/>
    <x v="1"/>
    <n v="2"/>
    <n v="16.89"/>
    <n v="5"/>
    <n v="32.090000000000003"/>
    <n v="11.62"/>
    <n v="40"/>
    <x v="0"/>
    <s v="Credit Card"/>
  </r>
  <r>
    <n v="100052"/>
    <x v="557"/>
    <s v="AD-8251-D"/>
    <x v="8"/>
    <x v="2"/>
    <x v="2"/>
    <x v="1"/>
    <n v="4"/>
    <n v="15.78"/>
    <n v="20"/>
    <n v="50.5"/>
    <n v="17.11"/>
    <n v="35"/>
    <x v="0"/>
    <s v="Cash"/>
  </r>
  <r>
    <n v="100263"/>
    <x v="217"/>
    <s v="AD-3292-A"/>
    <x v="5"/>
    <x v="0"/>
    <x v="2"/>
    <x v="1"/>
    <n v="4"/>
    <n v="70.349999999999994"/>
    <n v="0"/>
    <n v="281.39999999999998"/>
    <n v="82.79"/>
    <n v="26"/>
    <x v="1"/>
    <s v="Apple Pay"/>
  </r>
  <r>
    <n v="101092"/>
    <x v="558"/>
    <s v="AD-3113-D"/>
    <x v="18"/>
    <x v="1"/>
    <x v="1"/>
    <x v="0"/>
    <n v="1"/>
    <n v="73"/>
    <n v="0"/>
    <n v="73"/>
    <n v="22.96"/>
    <n v="21"/>
    <x v="1"/>
    <s v="Apple Pay"/>
  </r>
  <r>
    <n v="100443"/>
    <x v="559"/>
    <s v="AD-1092-C"/>
    <x v="15"/>
    <x v="1"/>
    <x v="0"/>
    <x v="0"/>
    <n v="3"/>
    <n v="131.82"/>
    <n v="5"/>
    <n v="375.69"/>
    <n v="102.64"/>
    <n v="16"/>
    <x v="0"/>
    <s v="NetBanking"/>
  </r>
  <r>
    <n v="100971"/>
    <x v="60"/>
    <s v="AD-7036-D"/>
    <x v="19"/>
    <x v="1"/>
    <x v="1"/>
    <x v="3"/>
    <n v="3"/>
    <n v="125.36"/>
    <n v="10"/>
    <n v="338.47"/>
    <n v="118.32"/>
    <n v="31"/>
    <x v="0"/>
    <s v="UPI"/>
  </r>
  <r>
    <n v="100782"/>
    <x v="560"/>
    <s v="AD-4677-B"/>
    <x v="10"/>
    <x v="2"/>
    <x v="2"/>
    <x v="1"/>
    <n v="1"/>
    <n v="41.95"/>
    <n v="5"/>
    <n v="39.85"/>
    <n v="11.52"/>
    <n v="29"/>
    <x v="0"/>
    <s v="Debit Card"/>
  </r>
  <r>
    <n v="100846"/>
    <x v="561"/>
    <s v="AD-7694-A"/>
    <x v="16"/>
    <x v="1"/>
    <x v="4"/>
    <x v="0"/>
    <n v="2"/>
    <n v="32.4"/>
    <n v="5"/>
    <n v="61.56"/>
    <n v="16.649999999999999"/>
    <n v="40"/>
    <x v="0"/>
    <s v="Debit Card"/>
  </r>
  <r>
    <n v="100691"/>
    <x v="562"/>
    <s v="AD-6872-C"/>
    <x v="2"/>
    <x v="1"/>
    <x v="4"/>
    <x v="1"/>
    <n v="2"/>
    <n v="105.28"/>
    <n v="0"/>
    <n v="210.56"/>
    <n v="67.63"/>
    <n v="30"/>
    <x v="0"/>
    <s v="PayPal"/>
  </r>
  <r>
    <n v="100304"/>
    <x v="185"/>
    <s v="AD-6869-A"/>
    <x v="9"/>
    <x v="2"/>
    <x v="4"/>
    <x v="1"/>
    <n v="3"/>
    <n v="20.86"/>
    <n v="5"/>
    <n v="59.45"/>
    <n v="19.37"/>
    <n v="26"/>
    <x v="0"/>
    <s v="Google Pay"/>
  </r>
  <r>
    <n v="100341"/>
    <x v="563"/>
    <s v="AD-3290-A"/>
    <x v="12"/>
    <x v="0"/>
    <x v="0"/>
    <x v="1"/>
    <n v="5"/>
    <n v="115.78"/>
    <n v="0"/>
    <n v="578.9"/>
    <n v="137.49"/>
    <n v="17"/>
    <x v="1"/>
    <s v="Debit Card"/>
  </r>
  <r>
    <n v="100866"/>
    <x v="564"/>
    <s v="AD-5578-D"/>
    <x v="8"/>
    <x v="2"/>
    <x v="1"/>
    <x v="0"/>
    <n v="3"/>
    <n v="14.71"/>
    <n v="0"/>
    <n v="44.13"/>
    <n v="14.59"/>
    <n v="22"/>
    <x v="1"/>
    <s v="PayPal"/>
  </r>
  <r>
    <n v="100313"/>
    <x v="565"/>
    <s v="AD-7745-D"/>
    <x v="17"/>
    <x v="2"/>
    <x v="0"/>
    <x v="0"/>
    <n v="2"/>
    <n v="43.15"/>
    <n v="10"/>
    <n v="77.67"/>
    <n v="32.090000000000003"/>
    <n v="50"/>
    <x v="0"/>
    <s v="PayPal"/>
  </r>
  <r>
    <n v="100149"/>
    <x v="566"/>
    <s v="AD-9307-D"/>
    <x v="3"/>
    <x v="2"/>
    <x v="4"/>
    <x v="2"/>
    <n v="2"/>
    <n v="18.3"/>
    <n v="5"/>
    <n v="34.770000000000003"/>
    <n v="8.84"/>
    <n v="38"/>
    <x v="1"/>
    <s v="Debit Card"/>
  </r>
  <r>
    <n v="100124"/>
    <x v="567"/>
    <s v="AD-8344-C"/>
    <x v="1"/>
    <x v="0"/>
    <x v="0"/>
    <x v="1"/>
    <n v="1"/>
    <n v="30.15"/>
    <n v="10"/>
    <n v="27.13"/>
    <n v="7.69"/>
    <n v="23"/>
    <x v="0"/>
    <s v="Google Pay"/>
  </r>
  <r>
    <n v="101062"/>
    <x v="186"/>
    <s v="AD-2939-C"/>
    <x v="18"/>
    <x v="1"/>
    <x v="3"/>
    <x v="0"/>
    <n v="5"/>
    <n v="77.63"/>
    <n v="20"/>
    <n v="310.52"/>
    <n v="95.06"/>
    <n v="21"/>
    <x v="1"/>
    <s v="Cash"/>
  </r>
  <r>
    <n v="100574"/>
    <x v="568"/>
    <s v="AD-2015-C"/>
    <x v="7"/>
    <x v="1"/>
    <x v="0"/>
    <x v="0"/>
    <n v="2"/>
    <n v="169.92"/>
    <n v="10"/>
    <n v="305.86"/>
    <n v="100.22"/>
    <n v="39"/>
    <x v="1"/>
    <s v="NetBanking"/>
  </r>
  <r>
    <n v="100697"/>
    <x v="31"/>
    <s v="AD-4693-C"/>
    <x v="8"/>
    <x v="2"/>
    <x v="1"/>
    <x v="3"/>
    <n v="2"/>
    <n v="13.38"/>
    <n v="10"/>
    <n v="24.08"/>
    <n v="6.74"/>
    <n v="34"/>
    <x v="0"/>
    <s v="UPI"/>
  </r>
  <r>
    <n v="100664"/>
    <x v="15"/>
    <s v="AD-4327-B"/>
    <x v="2"/>
    <x v="1"/>
    <x v="2"/>
    <x v="0"/>
    <n v="1"/>
    <n v="102.55"/>
    <n v="5"/>
    <n v="97.42"/>
    <n v="24.8"/>
    <n v="35"/>
    <x v="0"/>
    <s v="NetBanking"/>
  </r>
  <r>
    <n v="100050"/>
    <x v="538"/>
    <s v="AD-4997-B"/>
    <x v="4"/>
    <x v="2"/>
    <x v="0"/>
    <x v="1"/>
    <n v="3"/>
    <n v="57.89"/>
    <n v="0"/>
    <n v="173.67"/>
    <n v="58.9"/>
    <n v="33"/>
    <x v="1"/>
    <s v="Apple Pay"/>
  </r>
  <r>
    <n v="100726"/>
    <x v="85"/>
    <s v="AD-9612-A"/>
    <x v="13"/>
    <x v="0"/>
    <x v="4"/>
    <x v="0"/>
    <n v="3"/>
    <n v="127.14"/>
    <n v="0"/>
    <n v="381.42"/>
    <n v="87.74"/>
    <n v="29"/>
    <x v="1"/>
    <s v="UPI"/>
  </r>
  <r>
    <n v="100799"/>
    <x v="569"/>
    <s v="AD-2516-D"/>
    <x v="15"/>
    <x v="1"/>
    <x v="4"/>
    <x v="1"/>
    <n v="3"/>
    <n v="142.84"/>
    <n v="0"/>
    <n v="428.52"/>
    <n v="125.72"/>
    <n v="25"/>
    <x v="0"/>
    <s v="Apple Pay"/>
  </r>
  <r>
    <n v="100353"/>
    <x v="314"/>
    <s v="AD-3137-C"/>
    <x v="15"/>
    <x v="1"/>
    <x v="4"/>
    <x v="1"/>
    <n v="3"/>
    <n v="148.06"/>
    <n v="20"/>
    <n v="355.34"/>
    <n v="76.69"/>
    <n v="23"/>
    <x v="1"/>
    <s v="UPI"/>
  </r>
  <r>
    <n v="101152"/>
    <x v="41"/>
    <s v="AD-9227-D"/>
    <x v="1"/>
    <x v="0"/>
    <x v="0"/>
    <x v="0"/>
    <n v="3"/>
    <n v="24.27"/>
    <n v="10"/>
    <n v="65.53"/>
    <n v="12.71"/>
    <n v="23"/>
    <x v="1"/>
    <s v="Apple Pay"/>
  </r>
  <r>
    <n v="100142"/>
    <x v="364"/>
    <s v="AD-7626-D"/>
    <x v="15"/>
    <x v="1"/>
    <x v="1"/>
    <x v="0"/>
    <n v="3"/>
    <n v="131.71"/>
    <n v="5"/>
    <n v="375.37"/>
    <n v="97.63"/>
    <n v="22"/>
    <x v="1"/>
    <s v="Apple Pay"/>
  </r>
  <r>
    <n v="100470"/>
    <x v="510"/>
    <s v="AD-5314-B"/>
    <x v="3"/>
    <x v="2"/>
    <x v="4"/>
    <x v="1"/>
    <n v="3"/>
    <n v="18.14"/>
    <n v="0"/>
    <n v="54.42"/>
    <n v="11.64"/>
    <n v="33"/>
    <x v="1"/>
    <s v="NetBanking"/>
  </r>
  <r>
    <n v="100653"/>
    <x v="496"/>
    <s v="AD-2600-A"/>
    <x v="7"/>
    <x v="1"/>
    <x v="4"/>
    <x v="0"/>
    <n v="3"/>
    <n v="166.49"/>
    <n v="5"/>
    <n v="474.5"/>
    <n v="134.59"/>
    <n v="28"/>
    <x v="1"/>
    <s v="Apple Pay"/>
  </r>
  <r>
    <n v="100399"/>
    <x v="287"/>
    <s v="AD-2324-D"/>
    <x v="4"/>
    <x v="2"/>
    <x v="2"/>
    <x v="3"/>
    <n v="3"/>
    <n v="59.8"/>
    <n v="0"/>
    <n v="179.4"/>
    <n v="68.19"/>
    <n v="35"/>
    <x v="1"/>
    <s v="PayPal"/>
  </r>
  <r>
    <n v="101153"/>
    <x v="570"/>
    <s v="AD-4177-C"/>
    <x v="13"/>
    <x v="0"/>
    <x v="4"/>
    <x v="0"/>
    <n v="1"/>
    <n v="111.64"/>
    <n v="10"/>
    <n v="100.48"/>
    <n v="23.81"/>
    <n v="27"/>
    <x v="0"/>
    <s v="Apple Pay"/>
  </r>
  <r>
    <n v="100937"/>
    <x v="571"/>
    <s v="AD-3844-A"/>
    <x v="8"/>
    <x v="2"/>
    <x v="1"/>
    <x v="0"/>
    <n v="3"/>
    <n v="14.6"/>
    <n v="5"/>
    <n v="41.61"/>
    <n v="12.82"/>
    <n v="39"/>
    <x v="1"/>
    <s v="Cash"/>
  </r>
  <r>
    <n v="100320"/>
    <x v="92"/>
    <s v="AD-2294-B"/>
    <x v="12"/>
    <x v="0"/>
    <x v="1"/>
    <x v="1"/>
    <n v="3"/>
    <n v="134.80000000000001"/>
    <n v="10"/>
    <n v="363.96"/>
    <n v="106.3"/>
    <n v="25"/>
    <x v="1"/>
    <s v="NetBanking"/>
  </r>
  <r>
    <n v="100019"/>
    <x v="572"/>
    <s v="AD-9834-B"/>
    <x v="15"/>
    <x v="1"/>
    <x v="4"/>
    <x v="0"/>
    <n v="2"/>
    <n v="154.15"/>
    <n v="0"/>
    <n v="308.3"/>
    <n v="99.47"/>
    <n v="28"/>
    <x v="0"/>
    <s v="UPI"/>
  </r>
  <r>
    <n v="100684"/>
    <x v="573"/>
    <s v="AD-7346-C"/>
    <x v="9"/>
    <x v="2"/>
    <x v="1"/>
    <x v="0"/>
    <n v="3"/>
    <n v="19.989999999999998"/>
    <n v="10"/>
    <n v="53.97"/>
    <n v="20.91"/>
    <n v="28"/>
    <x v="0"/>
    <s v="PayPal"/>
  </r>
  <r>
    <n v="100035"/>
    <x v="379"/>
    <s v="AD-1158-A"/>
    <x v="13"/>
    <x v="0"/>
    <x v="0"/>
    <x v="0"/>
    <n v="5"/>
    <n v="127.11"/>
    <n v="0"/>
    <n v="635.54999999999995"/>
    <n v="160.93"/>
    <n v="36"/>
    <x v="0"/>
    <s v="Apple Pay"/>
  </r>
  <r>
    <n v="100824"/>
    <x v="574"/>
    <s v="AD-4671-D"/>
    <x v="10"/>
    <x v="2"/>
    <x v="4"/>
    <x v="0"/>
    <n v="3"/>
    <n v="47.75"/>
    <n v="10"/>
    <n v="128.93"/>
    <n v="47.16"/>
    <n v="33"/>
    <x v="0"/>
    <s v="Debit Card"/>
  </r>
  <r>
    <n v="100505"/>
    <x v="263"/>
    <s v="AD-6171-A"/>
    <x v="11"/>
    <x v="0"/>
    <x v="0"/>
    <x v="0"/>
    <n v="2"/>
    <n v="33.19"/>
    <n v="5"/>
    <n v="63.06"/>
    <n v="19.12"/>
    <n v="38"/>
    <x v="0"/>
    <s v="Google Pay"/>
  </r>
  <r>
    <n v="100827"/>
    <x v="402"/>
    <s v="AD-3572-C"/>
    <x v="8"/>
    <x v="2"/>
    <x v="4"/>
    <x v="1"/>
    <n v="4"/>
    <n v="12"/>
    <n v="10"/>
    <n v="43.2"/>
    <n v="13.2"/>
    <n v="16"/>
    <x v="0"/>
    <s v="Cash"/>
  </r>
  <r>
    <n v="101070"/>
    <x v="575"/>
    <s v="AD-2804-A"/>
    <x v="6"/>
    <x v="1"/>
    <x v="2"/>
    <x v="0"/>
    <n v="5"/>
    <n v="185.68"/>
    <n v="20"/>
    <n v="742.72"/>
    <n v="207.01"/>
    <n v="24"/>
    <x v="1"/>
    <s v="PayPal"/>
  </r>
  <r>
    <n v="100407"/>
    <x v="576"/>
    <s v="AD-1790-A"/>
    <x v="8"/>
    <x v="2"/>
    <x v="0"/>
    <x v="0"/>
    <n v="3"/>
    <n v="13.81"/>
    <n v="0"/>
    <n v="41.43"/>
    <n v="15.12"/>
    <n v="39"/>
    <x v="1"/>
    <s v="Credit Card"/>
  </r>
  <r>
    <n v="100817"/>
    <x v="432"/>
    <s v="AD-4799-A"/>
    <x v="9"/>
    <x v="2"/>
    <x v="0"/>
    <x v="3"/>
    <n v="2"/>
    <n v="22.06"/>
    <n v="0"/>
    <n v="44.12"/>
    <n v="9.18"/>
    <n v="25"/>
    <x v="0"/>
    <s v="Google Pay"/>
  </r>
  <r>
    <n v="100537"/>
    <x v="577"/>
    <s v="AD-2497-C"/>
    <x v="9"/>
    <x v="2"/>
    <x v="4"/>
    <x v="1"/>
    <n v="3"/>
    <n v="21.54"/>
    <n v="0"/>
    <n v="64.62"/>
    <n v="17.09"/>
    <n v="24"/>
    <x v="1"/>
    <s v="Google Pay"/>
  </r>
  <r>
    <n v="100758"/>
    <x v="268"/>
    <s v="AD-1304-B"/>
    <x v="8"/>
    <x v="2"/>
    <x v="1"/>
    <x v="0"/>
    <n v="3"/>
    <n v="15.28"/>
    <n v="5"/>
    <n v="43.55"/>
    <n v="12.72"/>
    <n v="41"/>
    <x v="1"/>
    <s v="PayPal"/>
  </r>
  <r>
    <n v="101068"/>
    <x v="578"/>
    <s v="AD-9826-D"/>
    <x v="13"/>
    <x v="0"/>
    <x v="3"/>
    <x v="3"/>
    <n v="3"/>
    <n v="112.57"/>
    <n v="10"/>
    <n v="303.94"/>
    <n v="119.73"/>
    <n v="16"/>
    <x v="1"/>
    <s v="Google Pay"/>
  </r>
  <r>
    <n v="100892"/>
    <x v="579"/>
    <s v="AD-5909-D"/>
    <x v="9"/>
    <x v="2"/>
    <x v="3"/>
    <x v="1"/>
    <n v="1"/>
    <n v="23.81"/>
    <n v="0"/>
    <n v="23.81"/>
    <n v="9.19"/>
    <n v="40"/>
    <x v="1"/>
    <s v="Cash"/>
  </r>
  <r>
    <n v="100038"/>
    <x v="452"/>
    <s v="AD-7745-B"/>
    <x v="7"/>
    <x v="1"/>
    <x v="0"/>
    <x v="2"/>
    <n v="5"/>
    <n v="163.9"/>
    <n v="0"/>
    <n v="819.5"/>
    <n v="256.39"/>
    <n v="37"/>
    <x v="1"/>
    <s v="Cash"/>
  </r>
  <r>
    <n v="100175"/>
    <x v="580"/>
    <s v="AD-5150-A"/>
    <x v="16"/>
    <x v="1"/>
    <x v="1"/>
    <x v="0"/>
    <n v="1"/>
    <n v="33.53"/>
    <n v="0"/>
    <n v="33.53"/>
    <n v="12.68"/>
    <n v="29"/>
    <x v="1"/>
    <s v="Google Pay"/>
  </r>
  <r>
    <n v="100245"/>
    <x v="49"/>
    <s v="AD-6411-A"/>
    <x v="4"/>
    <x v="2"/>
    <x v="0"/>
    <x v="0"/>
    <n v="6"/>
    <n v="54.57"/>
    <n v="0"/>
    <n v="327.42"/>
    <n v="98"/>
    <n v="39"/>
    <x v="1"/>
    <s v="UPI"/>
  </r>
  <r>
    <n v="100810"/>
    <x v="581"/>
    <s v="AD-2911-A"/>
    <x v="19"/>
    <x v="1"/>
    <x v="0"/>
    <x v="0"/>
    <n v="3"/>
    <n v="140.88999999999999"/>
    <n v="40"/>
    <n v="253.6"/>
    <n v="85.72"/>
    <n v="43"/>
    <x v="1"/>
    <s v="Apple Pay"/>
  </r>
  <r>
    <n v="101084"/>
    <x v="474"/>
    <s v="AD-6830-B"/>
    <x v="11"/>
    <x v="0"/>
    <x v="3"/>
    <x v="1"/>
    <n v="4"/>
    <n v="29.67"/>
    <n v="0"/>
    <n v="118.68"/>
    <n v="37.44"/>
    <n v="16"/>
    <x v="1"/>
    <s v="Apple Pay"/>
  </r>
  <r>
    <n v="101077"/>
    <x v="444"/>
    <s v="AD-4724-D"/>
    <x v="4"/>
    <x v="2"/>
    <x v="2"/>
    <x v="1"/>
    <n v="1"/>
    <n v="60.97"/>
    <n v="0"/>
    <n v="60.97"/>
    <n v="14.81"/>
    <n v="29"/>
    <x v="0"/>
    <s v="NetBanking"/>
  </r>
  <r>
    <n v="100784"/>
    <x v="142"/>
    <s v="AD-5068-C"/>
    <x v="7"/>
    <x v="1"/>
    <x v="4"/>
    <x v="0"/>
    <n v="5"/>
    <n v="176.44"/>
    <n v="5"/>
    <n v="838.09"/>
    <n v="149.75"/>
    <n v="35"/>
    <x v="1"/>
    <s v="Google Pay"/>
  </r>
  <r>
    <n v="101184"/>
    <x v="444"/>
    <s v="AD-4849-C"/>
    <x v="10"/>
    <x v="2"/>
    <x v="4"/>
    <x v="0"/>
    <n v="3"/>
    <n v="49.69"/>
    <n v="5"/>
    <n v="141.62"/>
    <n v="39.880000000000003"/>
    <n v="28"/>
    <x v="1"/>
    <s v="PayPal"/>
  </r>
  <r>
    <n v="100489"/>
    <x v="582"/>
    <s v="AD-2049-C"/>
    <x v="6"/>
    <x v="1"/>
    <x v="0"/>
    <x v="1"/>
    <n v="4"/>
    <n v="148.24"/>
    <n v="0"/>
    <n v="592.96"/>
    <n v="197.2"/>
    <n v="20"/>
    <x v="0"/>
    <s v="Debit Card"/>
  </r>
  <r>
    <n v="100154"/>
    <x v="583"/>
    <s v="AD-6461-A"/>
    <x v="8"/>
    <x v="2"/>
    <x v="4"/>
    <x v="1"/>
    <n v="6"/>
    <n v="14.38"/>
    <n v="0"/>
    <n v="86.28"/>
    <n v="36.979999999999997"/>
    <n v="42"/>
    <x v="0"/>
    <s v="PayPal"/>
  </r>
  <r>
    <n v="100638"/>
    <x v="584"/>
    <s v="AD-9161-B"/>
    <x v="4"/>
    <x v="2"/>
    <x v="1"/>
    <x v="0"/>
    <n v="5"/>
    <n v="63.27"/>
    <n v="0"/>
    <n v="316.35000000000002"/>
    <n v="107.19"/>
    <n v="25"/>
    <x v="1"/>
    <s v="Credit Card"/>
  </r>
  <r>
    <n v="100662"/>
    <x v="585"/>
    <s v="AD-1054-D"/>
    <x v="4"/>
    <x v="2"/>
    <x v="0"/>
    <x v="2"/>
    <n v="2"/>
    <n v="63.3"/>
    <n v="5"/>
    <n v="120.27"/>
    <n v="52.04"/>
    <n v="25"/>
    <x v="1"/>
    <s v="UPI"/>
  </r>
  <r>
    <n v="100853"/>
    <x v="491"/>
    <s v="AD-2395-B"/>
    <x v="6"/>
    <x v="1"/>
    <x v="0"/>
    <x v="1"/>
    <n v="3"/>
    <n v="176.67"/>
    <n v="0"/>
    <n v="530.01"/>
    <n v="197.42"/>
    <n v="18"/>
    <x v="0"/>
    <s v="Debit Card"/>
  </r>
  <r>
    <n v="100287"/>
    <x v="125"/>
    <s v="AD-4519-B"/>
    <x v="6"/>
    <x v="1"/>
    <x v="2"/>
    <x v="0"/>
    <n v="1"/>
    <n v="153.12"/>
    <n v="0"/>
    <n v="153.12"/>
    <n v="49.61"/>
    <n v="19"/>
    <x v="1"/>
    <s v="Credit Card"/>
  </r>
  <r>
    <n v="100625"/>
    <x v="570"/>
    <s v="AD-5949-D"/>
    <x v="18"/>
    <x v="1"/>
    <x v="0"/>
    <x v="0"/>
    <n v="4"/>
    <n v="83.94"/>
    <n v="5"/>
    <n v="318.97000000000003"/>
    <n v="118.43"/>
    <n v="25"/>
    <x v="0"/>
    <s v="Debit Card"/>
  </r>
  <r>
    <n v="101199"/>
    <x v="504"/>
    <s v="AD-4399-D"/>
    <x v="7"/>
    <x v="1"/>
    <x v="3"/>
    <x v="1"/>
    <n v="2"/>
    <n v="176.23"/>
    <n v="0"/>
    <n v="352.46"/>
    <n v="120.59"/>
    <n v="36"/>
    <x v="1"/>
    <s v="UPI"/>
  </r>
  <r>
    <n v="100685"/>
    <x v="586"/>
    <s v="AD-1525-A"/>
    <x v="3"/>
    <x v="2"/>
    <x v="0"/>
    <x v="3"/>
    <n v="3"/>
    <n v="20.6"/>
    <n v="0"/>
    <n v="61.8"/>
    <n v="21.17"/>
    <n v="39"/>
    <x v="1"/>
    <s v="PayPal"/>
  </r>
  <r>
    <n v="100872"/>
    <x v="373"/>
    <s v="AD-4137-A"/>
    <x v="16"/>
    <x v="1"/>
    <x v="4"/>
    <x v="0"/>
    <n v="4"/>
    <n v="32.76"/>
    <n v="5"/>
    <n v="124.49"/>
    <n v="35.81"/>
    <n v="27"/>
    <x v="1"/>
    <s v="Cash"/>
  </r>
  <r>
    <n v="100569"/>
    <x v="307"/>
    <s v="AD-9631-A"/>
    <x v="9"/>
    <x v="2"/>
    <x v="3"/>
    <x v="1"/>
    <n v="5"/>
    <n v="18.39"/>
    <n v="0"/>
    <n v="91.95"/>
    <n v="27.35"/>
    <n v="27"/>
    <x v="0"/>
    <s v="Apple Pay"/>
  </r>
  <r>
    <n v="101143"/>
    <x v="587"/>
    <s v="AD-5422-B"/>
    <x v="15"/>
    <x v="1"/>
    <x v="3"/>
    <x v="0"/>
    <n v="3"/>
    <n v="141.38"/>
    <n v="10"/>
    <n v="381.73"/>
    <n v="117.96"/>
    <n v="24"/>
    <x v="1"/>
    <s v="Apple Pay"/>
  </r>
  <r>
    <n v="100734"/>
    <x v="200"/>
    <s v="AD-4506-D"/>
    <x v="16"/>
    <x v="1"/>
    <x v="4"/>
    <x v="1"/>
    <n v="2"/>
    <n v="35.51"/>
    <n v="0"/>
    <n v="71.02"/>
    <n v="25.62"/>
    <n v="42"/>
    <x v="1"/>
    <s v="Debit Card"/>
  </r>
  <r>
    <n v="100792"/>
    <x v="215"/>
    <s v="AD-3435-A"/>
    <x v="14"/>
    <x v="1"/>
    <x v="2"/>
    <x v="1"/>
    <n v="4"/>
    <n v="252.89"/>
    <n v="0"/>
    <n v="1011.56"/>
    <n v="324.7"/>
    <n v="25"/>
    <x v="1"/>
    <s v="UPI"/>
  </r>
  <r>
    <n v="100017"/>
    <x v="588"/>
    <s v="AD-2982-B"/>
    <x v="0"/>
    <x v="0"/>
    <x v="0"/>
    <x v="0"/>
    <n v="4"/>
    <n v="59.26"/>
    <n v="5"/>
    <n v="225.19"/>
    <n v="57.76"/>
    <n v="18"/>
    <x v="0"/>
    <s v="Google Pay"/>
  </r>
  <r>
    <n v="100127"/>
    <x v="143"/>
    <s v="AD-7240-C"/>
    <x v="19"/>
    <x v="1"/>
    <x v="4"/>
    <x v="1"/>
    <n v="2"/>
    <n v="108.44"/>
    <n v="10"/>
    <n v="195.19"/>
    <n v="44.82"/>
    <n v="23"/>
    <x v="0"/>
    <s v="Cash"/>
  </r>
  <r>
    <n v="100322"/>
    <x v="589"/>
    <s v="AD-6067-B"/>
    <x v="5"/>
    <x v="0"/>
    <x v="4"/>
    <x v="0"/>
    <n v="4"/>
    <n v="74.05"/>
    <n v="10"/>
    <n v="266.58"/>
    <n v="85.32"/>
    <n v="22"/>
    <x v="1"/>
    <s v="Credit Card"/>
  </r>
  <r>
    <n v="100255"/>
    <x v="590"/>
    <s v="AD-8916-D"/>
    <x v="5"/>
    <x v="0"/>
    <x v="4"/>
    <x v="0"/>
    <n v="2"/>
    <n v="82.82"/>
    <n v="10"/>
    <n v="149.08000000000001"/>
    <n v="40.590000000000003"/>
    <n v="37"/>
    <x v="1"/>
    <s v="Credit Card"/>
  </r>
  <r>
    <n v="100943"/>
    <x v="591"/>
    <s v="AD-4309-B"/>
    <x v="4"/>
    <x v="2"/>
    <x v="0"/>
    <x v="0"/>
    <n v="5"/>
    <n v="62.58"/>
    <n v="0"/>
    <n v="312.89999999999998"/>
    <n v="97.62"/>
    <n v="17"/>
    <x v="1"/>
    <s v="NetBanking"/>
  </r>
  <r>
    <n v="101179"/>
    <x v="451"/>
    <s v="AD-2387-A"/>
    <x v="12"/>
    <x v="0"/>
    <x v="1"/>
    <x v="1"/>
    <n v="2"/>
    <n v="128.56"/>
    <n v="0"/>
    <n v="257.12"/>
    <n v="82.32"/>
    <n v="35"/>
    <x v="1"/>
    <s v="Credit Card"/>
  </r>
  <r>
    <n v="100190"/>
    <x v="451"/>
    <s v="AD-3114-D"/>
    <x v="13"/>
    <x v="0"/>
    <x v="1"/>
    <x v="1"/>
    <n v="1"/>
    <n v="118.28"/>
    <n v="0"/>
    <n v="118.28"/>
    <n v="27.92"/>
    <n v="44"/>
    <x v="1"/>
    <s v="PayPal"/>
  </r>
  <r>
    <n v="100115"/>
    <x v="536"/>
    <s v="AD-2035-D"/>
    <x v="5"/>
    <x v="0"/>
    <x v="0"/>
    <x v="3"/>
    <n v="2"/>
    <n v="67.510000000000005"/>
    <n v="5"/>
    <n v="128.27000000000001"/>
    <n v="43.33"/>
    <n v="37"/>
    <x v="1"/>
    <s v="UPI"/>
  </r>
  <r>
    <n v="101173"/>
    <x v="592"/>
    <s v="AD-2607-C"/>
    <x v="9"/>
    <x v="2"/>
    <x v="4"/>
    <x v="1"/>
    <n v="3"/>
    <n v="22.53"/>
    <n v="0"/>
    <n v="67.59"/>
    <n v="25.9"/>
    <n v="32"/>
    <x v="1"/>
    <s v="Apple Pay"/>
  </r>
  <r>
    <n v="100888"/>
    <x v="593"/>
    <s v="AD-1991-B"/>
    <x v="4"/>
    <x v="2"/>
    <x v="0"/>
    <x v="0"/>
    <n v="2"/>
    <n v="58.87"/>
    <n v="5"/>
    <n v="111.85"/>
    <n v="33.72"/>
    <n v="25"/>
    <x v="1"/>
    <s v="Credit Card"/>
  </r>
  <r>
    <n v="100606"/>
    <x v="594"/>
    <s v="AD-3877-B"/>
    <x v="6"/>
    <x v="1"/>
    <x v="1"/>
    <x v="0"/>
    <n v="4"/>
    <n v="161.56"/>
    <n v="10"/>
    <n v="581.62"/>
    <n v="180"/>
    <n v="31"/>
    <x v="0"/>
    <s v="Credit Card"/>
  </r>
  <r>
    <n v="100180"/>
    <x v="595"/>
    <s v="AD-1939-A"/>
    <x v="3"/>
    <x v="2"/>
    <x v="2"/>
    <x v="0"/>
    <n v="2"/>
    <n v="17.649999999999999"/>
    <n v="10"/>
    <n v="31.77"/>
    <n v="11.27"/>
    <n v="19"/>
    <x v="2"/>
    <s v="NetBanking"/>
  </r>
  <r>
    <n v="100301"/>
    <x v="596"/>
    <s v="AD-5090-B"/>
    <x v="4"/>
    <x v="2"/>
    <x v="3"/>
    <x v="2"/>
    <n v="1"/>
    <n v="63.33"/>
    <n v="0"/>
    <n v="63.33"/>
    <n v="22.58"/>
    <n v="44"/>
    <x v="1"/>
    <s v="PayPal"/>
  </r>
  <r>
    <n v="100496"/>
    <x v="106"/>
    <s v="AD-9813-C"/>
    <x v="2"/>
    <x v="1"/>
    <x v="1"/>
    <x v="0"/>
    <n v="4"/>
    <n v="103.78"/>
    <n v="0"/>
    <n v="415.12"/>
    <n v="115.8"/>
    <n v="30"/>
    <x v="1"/>
    <s v="NetBanking"/>
  </r>
  <r>
    <n v="100348"/>
    <x v="597"/>
    <s v="AD-6224-B"/>
    <x v="9"/>
    <x v="2"/>
    <x v="0"/>
    <x v="0"/>
    <n v="3"/>
    <n v="21.94"/>
    <n v="5"/>
    <n v="62.53"/>
    <n v="19.72"/>
    <n v="16"/>
    <x v="1"/>
    <s v="Credit Card"/>
  </r>
  <r>
    <n v="101035"/>
    <x v="438"/>
    <s v="AD-6507-D"/>
    <x v="15"/>
    <x v="1"/>
    <x v="1"/>
    <x v="1"/>
    <n v="2"/>
    <n v="150.16"/>
    <n v="5"/>
    <n v="285.3"/>
    <n v="104.02"/>
    <n v="24"/>
    <x v="2"/>
    <s v="UPI"/>
  </r>
  <r>
    <n v="100982"/>
    <x v="598"/>
    <s v="AD-7359-D"/>
    <x v="13"/>
    <x v="0"/>
    <x v="0"/>
    <x v="0"/>
    <n v="2"/>
    <n v="122.97"/>
    <n v="0"/>
    <n v="245.94"/>
    <n v="78.62"/>
    <n v="26"/>
    <x v="1"/>
    <s v="UPI"/>
  </r>
  <r>
    <n v="100744"/>
    <x v="553"/>
    <s v="AD-7269-C"/>
    <x v="18"/>
    <x v="1"/>
    <x v="2"/>
    <x v="1"/>
    <n v="1"/>
    <n v="81.45"/>
    <n v="0"/>
    <n v="81.45"/>
    <n v="26.5"/>
    <n v="45"/>
    <x v="1"/>
    <s v="PayPal"/>
  </r>
  <r>
    <n v="101151"/>
    <x v="599"/>
    <s v="AD-8802-D"/>
    <x v="18"/>
    <x v="1"/>
    <x v="4"/>
    <x v="2"/>
    <n v="3"/>
    <n v="89.65"/>
    <n v="0"/>
    <n v="268.95"/>
    <n v="98.54"/>
    <n v="47"/>
    <x v="1"/>
    <s v="Credit Card"/>
  </r>
  <r>
    <n v="100517"/>
    <x v="600"/>
    <s v="AD-3048-B"/>
    <x v="11"/>
    <x v="0"/>
    <x v="1"/>
    <x v="1"/>
    <n v="4"/>
    <n v="31.97"/>
    <n v="0"/>
    <n v="127.88"/>
    <n v="31.84"/>
    <n v="28"/>
    <x v="1"/>
    <s v="Credit Card"/>
  </r>
  <r>
    <n v="100372"/>
    <x v="601"/>
    <s v="AD-2970-D"/>
    <x v="2"/>
    <x v="1"/>
    <x v="2"/>
    <x v="0"/>
    <n v="3"/>
    <n v="90.24"/>
    <n v="5"/>
    <n v="257.18"/>
    <n v="88.24"/>
    <n v="25"/>
    <x v="0"/>
    <s v="PayPal"/>
  </r>
  <r>
    <n v="100045"/>
    <x v="284"/>
    <s v="AD-6344-D"/>
    <x v="13"/>
    <x v="0"/>
    <x v="4"/>
    <x v="2"/>
    <n v="2"/>
    <n v="128.31"/>
    <n v="0"/>
    <n v="256.62"/>
    <n v="64.540000000000006"/>
    <n v="24"/>
    <x v="1"/>
    <s v="Apple Pay"/>
  </r>
  <r>
    <n v="100476"/>
    <x v="493"/>
    <s v="AD-2404-B"/>
    <x v="7"/>
    <x v="1"/>
    <x v="1"/>
    <x v="3"/>
    <n v="3"/>
    <n v="157.22"/>
    <n v="0"/>
    <n v="471.66"/>
    <n v="134.22"/>
    <n v="28"/>
    <x v="0"/>
    <s v="NetBanking"/>
  </r>
  <r>
    <n v="100157"/>
    <x v="602"/>
    <s v="AD-4711-B"/>
    <x v="11"/>
    <x v="0"/>
    <x v="3"/>
    <x v="0"/>
    <n v="4"/>
    <n v="27.1"/>
    <n v="5"/>
    <n v="102.98"/>
    <n v="27.81"/>
    <n v="23"/>
    <x v="0"/>
    <s v="UPI"/>
  </r>
  <r>
    <n v="101046"/>
    <x v="24"/>
    <s v="AD-9401-D"/>
    <x v="1"/>
    <x v="0"/>
    <x v="4"/>
    <x v="1"/>
    <n v="1"/>
    <n v="21.96"/>
    <n v="20"/>
    <n v="17.57"/>
    <n v="5.92"/>
    <n v="23"/>
    <x v="0"/>
    <s v="Credit Card"/>
  </r>
  <r>
    <n v="100171"/>
    <x v="542"/>
    <s v="AD-7397-D"/>
    <x v="2"/>
    <x v="1"/>
    <x v="1"/>
    <x v="3"/>
    <n v="3"/>
    <n v="84.74"/>
    <n v="0"/>
    <n v="254.22"/>
    <n v="79.44"/>
    <n v="42"/>
    <x v="1"/>
    <s v="Credit Card"/>
  </r>
  <r>
    <n v="100016"/>
    <x v="145"/>
    <s v="AD-9835-B"/>
    <x v="9"/>
    <x v="2"/>
    <x v="4"/>
    <x v="1"/>
    <n v="6"/>
    <n v="20.58"/>
    <n v="0"/>
    <n v="123.48"/>
    <n v="36.409999999999997"/>
    <n v="30"/>
    <x v="0"/>
    <s v="UPI"/>
  </r>
  <r>
    <n v="100511"/>
    <x v="603"/>
    <s v="AD-5166-D"/>
    <x v="8"/>
    <x v="2"/>
    <x v="4"/>
    <x v="0"/>
    <n v="2"/>
    <n v="17.02"/>
    <n v="0"/>
    <n v="34.04"/>
    <n v="15.97"/>
    <n v="25"/>
    <x v="1"/>
    <s v="UPI"/>
  </r>
  <r>
    <n v="100048"/>
    <x v="141"/>
    <s v="AD-5649-C"/>
    <x v="16"/>
    <x v="1"/>
    <x v="0"/>
    <x v="3"/>
    <n v="2"/>
    <n v="36.24"/>
    <n v="0"/>
    <n v="72.48"/>
    <n v="24.55"/>
    <n v="16"/>
    <x v="0"/>
    <s v="Debit Card"/>
  </r>
  <r>
    <n v="100191"/>
    <x v="263"/>
    <s v="AD-6669-C"/>
    <x v="15"/>
    <x v="1"/>
    <x v="1"/>
    <x v="0"/>
    <n v="3"/>
    <n v="157.69"/>
    <n v="0"/>
    <n v="473.07"/>
    <n v="148.44"/>
    <n v="23"/>
    <x v="1"/>
    <s v="UPI"/>
  </r>
  <r>
    <n v="100546"/>
    <x v="604"/>
    <s v="AD-1214-B"/>
    <x v="19"/>
    <x v="1"/>
    <x v="4"/>
    <x v="0"/>
    <n v="6"/>
    <n v="137.22999999999999"/>
    <n v="0"/>
    <n v="823.38"/>
    <n v="186.82"/>
    <n v="22"/>
    <x v="0"/>
    <s v="Debit Card"/>
  </r>
  <r>
    <n v="100515"/>
    <x v="285"/>
    <s v="AD-2168-A"/>
    <x v="7"/>
    <x v="1"/>
    <x v="2"/>
    <x v="0"/>
    <n v="5"/>
    <n v="158.09"/>
    <n v="0"/>
    <n v="790.45"/>
    <n v="262.02"/>
    <n v="23"/>
    <x v="0"/>
    <s v="Apple Pay"/>
  </r>
  <r>
    <n v="100977"/>
    <x v="505"/>
    <s v="AD-2728-D"/>
    <x v="8"/>
    <x v="2"/>
    <x v="4"/>
    <x v="1"/>
    <n v="2"/>
    <n v="14.39"/>
    <n v="20"/>
    <n v="23.02"/>
    <n v="10.47"/>
    <n v="30"/>
    <x v="0"/>
    <s v="Debit Card"/>
  </r>
  <r>
    <n v="100938"/>
    <x v="128"/>
    <s v="AD-7045-A"/>
    <x v="13"/>
    <x v="0"/>
    <x v="4"/>
    <x v="0"/>
    <n v="4"/>
    <n v="118.34"/>
    <n v="10"/>
    <n v="426.02"/>
    <n v="110.94"/>
    <n v="25"/>
    <x v="0"/>
    <s v="NetBanking"/>
  </r>
  <r>
    <n v="100828"/>
    <x v="548"/>
    <s v="AD-6482-B"/>
    <x v="3"/>
    <x v="2"/>
    <x v="1"/>
    <x v="2"/>
    <n v="3"/>
    <n v="19.97"/>
    <n v="0"/>
    <n v="59.91"/>
    <n v="15.22"/>
    <n v="23"/>
    <x v="1"/>
    <s v="Cash"/>
  </r>
  <r>
    <n v="100983"/>
    <x v="605"/>
    <s v="AD-2746-D"/>
    <x v="11"/>
    <x v="0"/>
    <x v="3"/>
    <x v="0"/>
    <n v="2"/>
    <n v="31.96"/>
    <n v="0"/>
    <n v="63.92"/>
    <n v="12.04"/>
    <n v="25"/>
    <x v="0"/>
    <s v="UPI"/>
  </r>
  <r>
    <n v="100480"/>
    <x v="136"/>
    <s v="AD-8901-B"/>
    <x v="19"/>
    <x v="1"/>
    <x v="2"/>
    <x v="1"/>
    <n v="2"/>
    <n v="126.51"/>
    <n v="0"/>
    <n v="253.02"/>
    <n v="65.92"/>
    <n v="26"/>
    <x v="0"/>
    <s v="Debit Card"/>
  </r>
  <r>
    <n v="101128"/>
    <x v="505"/>
    <s v="AD-8144-D"/>
    <x v="16"/>
    <x v="1"/>
    <x v="1"/>
    <x v="1"/>
    <n v="2"/>
    <n v="34.69"/>
    <n v="0"/>
    <n v="69.38"/>
    <n v="19.8"/>
    <n v="29"/>
    <x v="1"/>
    <s v="Google Pay"/>
  </r>
  <r>
    <n v="100283"/>
    <x v="8"/>
    <s v="AD-6110-C"/>
    <x v="4"/>
    <x v="2"/>
    <x v="4"/>
    <x v="2"/>
    <n v="2"/>
    <n v="66.06"/>
    <n v="0"/>
    <n v="132.12"/>
    <n v="38.5"/>
    <n v="50"/>
    <x v="0"/>
    <s v="Cash"/>
  </r>
  <r>
    <n v="101029"/>
    <x v="436"/>
    <s v="AD-9222-D"/>
    <x v="4"/>
    <x v="2"/>
    <x v="1"/>
    <x v="1"/>
    <n v="3"/>
    <n v="60.7"/>
    <n v="5"/>
    <n v="173"/>
    <n v="65.61"/>
    <n v="34"/>
    <x v="1"/>
    <s v="Apple Pay"/>
  </r>
  <r>
    <n v="100797"/>
    <x v="606"/>
    <s v="AD-8861-D"/>
    <x v="17"/>
    <x v="2"/>
    <x v="4"/>
    <x v="0"/>
    <n v="4"/>
    <n v="40.64"/>
    <n v="0"/>
    <n v="162.56"/>
    <n v="27.91"/>
    <n v="22"/>
    <x v="1"/>
    <s v="Google Pay"/>
  </r>
  <r>
    <n v="100939"/>
    <x v="340"/>
    <s v="AD-5127-A"/>
    <x v="16"/>
    <x v="1"/>
    <x v="0"/>
    <x v="1"/>
    <n v="5"/>
    <n v="35.06"/>
    <n v="5"/>
    <n v="166.53"/>
    <n v="51.25"/>
    <n v="33"/>
    <x v="2"/>
    <s v="PayPal"/>
  </r>
  <r>
    <n v="100225"/>
    <x v="552"/>
    <s v="AD-5374-C"/>
    <x v="14"/>
    <x v="1"/>
    <x v="3"/>
    <x v="0"/>
    <n v="2"/>
    <n v="233.61"/>
    <n v="5"/>
    <n v="443.86"/>
    <n v="130.18"/>
    <n v="28"/>
    <x v="1"/>
    <s v="Google Pay"/>
  </r>
  <r>
    <n v="100026"/>
    <x v="111"/>
    <s v="AD-1936-A"/>
    <x v="16"/>
    <x v="1"/>
    <x v="3"/>
    <x v="1"/>
    <n v="4"/>
    <n v="32.03"/>
    <n v="5"/>
    <n v="121.71"/>
    <n v="39.4"/>
    <n v="23"/>
    <x v="1"/>
    <s v="Cash"/>
  </r>
  <r>
    <n v="100282"/>
    <x v="607"/>
    <s v="AD-8909-A"/>
    <x v="3"/>
    <x v="2"/>
    <x v="0"/>
    <x v="1"/>
    <n v="2"/>
    <n v="15.96"/>
    <n v="0"/>
    <n v="31.92"/>
    <n v="6.6"/>
    <n v="17"/>
    <x v="1"/>
    <s v="Credit Card"/>
  </r>
  <r>
    <n v="101149"/>
    <x v="608"/>
    <s v="AD-9412-B"/>
    <x v="10"/>
    <x v="2"/>
    <x v="4"/>
    <x v="2"/>
    <n v="1"/>
    <n v="40.53"/>
    <n v="10"/>
    <n v="36.479999999999997"/>
    <n v="14.82"/>
    <n v="25"/>
    <x v="1"/>
    <s v="Google Pay"/>
  </r>
  <r>
    <n v="100437"/>
    <x v="509"/>
    <s v="AD-4275-C"/>
    <x v="4"/>
    <x v="2"/>
    <x v="1"/>
    <x v="0"/>
    <n v="7"/>
    <n v="54.13"/>
    <n v="0"/>
    <n v="378.91"/>
    <n v="96.08"/>
    <n v="26"/>
    <x v="1"/>
    <s v="Credit Card"/>
  </r>
  <r>
    <n v="101167"/>
    <x v="346"/>
    <s v="AD-4122-A"/>
    <x v="11"/>
    <x v="0"/>
    <x v="1"/>
    <x v="0"/>
    <n v="4"/>
    <n v="30.04"/>
    <n v="0"/>
    <n v="120.16"/>
    <n v="21.39"/>
    <n v="29"/>
    <x v="2"/>
    <s v="NetBanking"/>
  </r>
  <r>
    <n v="100364"/>
    <x v="609"/>
    <s v="AD-8113-B"/>
    <x v="19"/>
    <x v="1"/>
    <x v="2"/>
    <x v="1"/>
    <n v="2"/>
    <n v="117.21"/>
    <n v="0"/>
    <n v="234.42"/>
    <n v="76.150000000000006"/>
    <n v="51"/>
    <x v="1"/>
    <s v="PayPal"/>
  </r>
  <r>
    <n v="100229"/>
    <x v="70"/>
    <s v="AD-9609-D"/>
    <x v="8"/>
    <x v="2"/>
    <x v="0"/>
    <x v="1"/>
    <n v="4"/>
    <n v="17.100000000000001"/>
    <n v="0"/>
    <n v="68.400000000000006"/>
    <n v="19.13"/>
    <n v="37"/>
    <x v="0"/>
    <s v="Debit Card"/>
  </r>
  <r>
    <n v="100037"/>
    <x v="482"/>
    <s v="AD-3532-B"/>
    <x v="15"/>
    <x v="1"/>
    <x v="4"/>
    <x v="0"/>
    <n v="5"/>
    <n v="136.28"/>
    <n v="0"/>
    <n v="681.4"/>
    <n v="235.26"/>
    <n v="25"/>
    <x v="1"/>
    <s v="Apple Pay"/>
  </r>
  <r>
    <n v="100669"/>
    <x v="610"/>
    <s v="AD-8720-A"/>
    <x v="17"/>
    <x v="2"/>
    <x v="4"/>
    <x v="1"/>
    <n v="1"/>
    <n v="36.090000000000003"/>
    <n v="20"/>
    <n v="28.87"/>
    <n v="6.52"/>
    <n v="30"/>
    <x v="1"/>
    <s v="Credit Card"/>
  </r>
  <r>
    <n v="100749"/>
    <x v="322"/>
    <s v="AD-6779-C"/>
    <x v="8"/>
    <x v="2"/>
    <x v="1"/>
    <x v="0"/>
    <n v="1"/>
    <n v="14.24"/>
    <n v="0"/>
    <n v="14.24"/>
    <n v="3.99"/>
    <n v="25"/>
    <x v="1"/>
    <s v="Apple Pay"/>
  </r>
  <r>
    <n v="101180"/>
    <x v="38"/>
    <s v="AD-1997-A"/>
    <x v="18"/>
    <x v="1"/>
    <x v="4"/>
    <x v="0"/>
    <n v="3"/>
    <n v="94.73"/>
    <n v="5"/>
    <n v="269.98"/>
    <n v="77.91"/>
    <n v="22"/>
    <x v="1"/>
    <s v="Cash"/>
  </r>
  <r>
    <n v="100374"/>
    <x v="611"/>
    <s v="AD-7510-C"/>
    <x v="19"/>
    <x v="1"/>
    <x v="2"/>
    <x v="2"/>
    <n v="7"/>
    <n v="123.33"/>
    <n v="40"/>
    <n v="517.99"/>
    <n v="166.58"/>
    <n v="23"/>
    <x v="1"/>
    <s v="Apple Pay"/>
  </r>
  <r>
    <n v="100469"/>
    <x v="175"/>
    <s v="AD-7358-D"/>
    <x v="9"/>
    <x v="2"/>
    <x v="4"/>
    <x v="0"/>
    <n v="3"/>
    <n v="22.6"/>
    <n v="20"/>
    <n v="54.24"/>
    <n v="14.07"/>
    <n v="21"/>
    <x v="0"/>
    <s v="Cash"/>
  </r>
  <r>
    <n v="100882"/>
    <x v="471"/>
    <s v="AD-8184-A"/>
    <x v="13"/>
    <x v="0"/>
    <x v="0"/>
    <x v="1"/>
    <n v="1"/>
    <n v="137.97999999999999"/>
    <n v="0"/>
    <n v="137.97999999999999"/>
    <n v="46.73"/>
    <n v="35"/>
    <x v="1"/>
    <s v="Debit Card"/>
  </r>
  <r>
    <n v="101181"/>
    <x v="610"/>
    <s v="AD-9115-B"/>
    <x v="17"/>
    <x v="2"/>
    <x v="0"/>
    <x v="0"/>
    <n v="1"/>
    <n v="36.369999999999997"/>
    <n v="0"/>
    <n v="36.369999999999997"/>
    <n v="9.7899999999999991"/>
    <n v="24"/>
    <x v="1"/>
    <s v="PayPal"/>
  </r>
  <r>
    <n v="100687"/>
    <x v="612"/>
    <s v="AD-9548-D"/>
    <x v="19"/>
    <x v="1"/>
    <x v="0"/>
    <x v="1"/>
    <n v="1"/>
    <n v="138.72999999999999"/>
    <n v="0"/>
    <n v="138.72999999999999"/>
    <n v="44.9"/>
    <n v="37"/>
    <x v="1"/>
    <s v="Apple Pay"/>
  </r>
  <r>
    <n v="100032"/>
    <x v="613"/>
    <s v="AD-5905-A"/>
    <x v="0"/>
    <x v="0"/>
    <x v="2"/>
    <x v="1"/>
    <n v="5"/>
    <n v="58.87"/>
    <n v="20"/>
    <n v="235.48"/>
    <n v="62.55"/>
    <n v="35"/>
    <x v="0"/>
    <s v="Credit Card"/>
  </r>
  <r>
    <n v="101010"/>
    <x v="614"/>
    <s v="AD-3879-C"/>
    <x v="12"/>
    <x v="0"/>
    <x v="4"/>
    <x v="3"/>
    <n v="3"/>
    <n v="124.2"/>
    <n v="0"/>
    <n v="372.6"/>
    <n v="122.28"/>
    <n v="30"/>
    <x v="0"/>
    <s v="Debit Card"/>
  </r>
  <r>
    <n v="101175"/>
    <x v="596"/>
    <s v="AD-9942-B"/>
    <x v="4"/>
    <x v="2"/>
    <x v="1"/>
    <x v="0"/>
    <n v="3"/>
    <n v="60.68"/>
    <n v="0"/>
    <n v="182.04"/>
    <n v="52.42"/>
    <n v="31"/>
    <x v="0"/>
    <s v="Google Pay"/>
  </r>
  <r>
    <n v="100194"/>
    <x v="252"/>
    <s v="AD-1496-D"/>
    <x v="15"/>
    <x v="1"/>
    <x v="0"/>
    <x v="0"/>
    <n v="5"/>
    <n v="137.62"/>
    <n v="0"/>
    <n v="688.1"/>
    <n v="188.22"/>
    <n v="30"/>
    <x v="1"/>
    <s v="Apple Pay"/>
  </r>
  <r>
    <n v="101105"/>
    <x v="615"/>
    <s v="AD-7884-B"/>
    <x v="14"/>
    <x v="1"/>
    <x v="0"/>
    <x v="1"/>
    <n v="4"/>
    <n v="193.24"/>
    <n v="0"/>
    <n v="772.96"/>
    <n v="233.34"/>
    <n v="38"/>
    <x v="1"/>
    <s v="UPI"/>
  </r>
  <r>
    <n v="101113"/>
    <x v="616"/>
    <s v="AD-4957-A"/>
    <x v="5"/>
    <x v="0"/>
    <x v="4"/>
    <x v="1"/>
    <n v="4"/>
    <n v="57.04"/>
    <n v="0"/>
    <n v="228.16"/>
    <n v="80.92"/>
    <n v="47"/>
    <x v="1"/>
    <s v="Apple Pay"/>
  </r>
  <r>
    <n v="101063"/>
    <x v="298"/>
    <s v="AD-7967-B"/>
    <x v="2"/>
    <x v="1"/>
    <x v="0"/>
    <x v="0"/>
    <n v="3"/>
    <n v="95.36"/>
    <n v="0"/>
    <n v="286.08"/>
    <n v="61.27"/>
    <n v="19"/>
    <x v="1"/>
    <s v="PayPal"/>
  </r>
  <r>
    <n v="100503"/>
    <x v="608"/>
    <s v="AD-9041-B"/>
    <x v="9"/>
    <x v="2"/>
    <x v="1"/>
    <x v="2"/>
    <n v="4"/>
    <n v="23.08"/>
    <n v="5"/>
    <n v="87.7"/>
    <n v="22.7"/>
    <n v="28"/>
    <x v="0"/>
    <s v="NetBanking"/>
  </r>
  <r>
    <n v="100915"/>
    <x v="617"/>
    <s v="AD-6342-A"/>
    <x v="5"/>
    <x v="0"/>
    <x v="0"/>
    <x v="0"/>
    <n v="2"/>
    <n v="67.34"/>
    <n v="5"/>
    <n v="127.95"/>
    <n v="29.9"/>
    <n v="42"/>
    <x v="0"/>
    <s v="NetBanking"/>
  </r>
  <r>
    <n v="100976"/>
    <x v="618"/>
    <s v="AD-8311-A"/>
    <x v="2"/>
    <x v="1"/>
    <x v="0"/>
    <x v="1"/>
    <n v="4"/>
    <n v="93.67"/>
    <n v="5"/>
    <n v="355.95"/>
    <n v="113.89"/>
    <n v="32"/>
    <x v="0"/>
    <s v="PayPal"/>
  </r>
  <r>
    <n v="101182"/>
    <x v="426"/>
    <s v="AD-4288-A"/>
    <x v="14"/>
    <x v="1"/>
    <x v="1"/>
    <x v="3"/>
    <n v="1"/>
    <n v="235.5"/>
    <n v="5"/>
    <n v="223.72"/>
    <n v="66.040000000000006"/>
    <n v="37"/>
    <x v="1"/>
    <s v="Google Pay"/>
  </r>
  <r>
    <n v="101087"/>
    <x v="619"/>
    <s v="AD-8331-B"/>
    <x v="16"/>
    <x v="1"/>
    <x v="0"/>
    <x v="1"/>
    <n v="4"/>
    <n v="28.91"/>
    <n v="0"/>
    <n v="115.64"/>
    <n v="27.23"/>
    <n v="32"/>
    <x v="1"/>
    <s v="Cash"/>
  </r>
  <r>
    <n v="100800"/>
    <x v="27"/>
    <s v="AD-3669-D"/>
    <x v="7"/>
    <x v="1"/>
    <x v="0"/>
    <x v="0"/>
    <n v="3"/>
    <n v="142.61000000000001"/>
    <n v="20"/>
    <n v="342.26"/>
    <n v="84.2"/>
    <n v="19"/>
    <x v="1"/>
    <s v="UPI"/>
  </r>
  <r>
    <n v="100579"/>
    <x v="63"/>
    <s v="AD-4016-C"/>
    <x v="17"/>
    <x v="2"/>
    <x v="1"/>
    <x v="1"/>
    <n v="3"/>
    <n v="41.83"/>
    <n v="0"/>
    <n v="125.49"/>
    <n v="38.53"/>
    <n v="27"/>
    <x v="0"/>
    <s v="Debit Card"/>
  </r>
  <r>
    <n v="100160"/>
    <x v="620"/>
    <s v="AD-4833-B"/>
    <x v="11"/>
    <x v="0"/>
    <x v="4"/>
    <x v="0"/>
    <n v="2"/>
    <n v="31.33"/>
    <n v="0"/>
    <n v="62.66"/>
    <n v="15.2"/>
    <n v="27"/>
    <x v="1"/>
    <s v="Google Pay"/>
  </r>
  <r>
    <n v="100680"/>
    <x v="621"/>
    <s v="AD-1709-A"/>
    <x v="15"/>
    <x v="1"/>
    <x v="1"/>
    <x v="0"/>
    <n v="6"/>
    <n v="140.27000000000001"/>
    <n v="10"/>
    <n v="757.46"/>
    <n v="185.05"/>
    <n v="33"/>
    <x v="1"/>
    <s v="Google Pay"/>
  </r>
  <r>
    <n v="101197"/>
    <x v="479"/>
    <s v="AD-2409-A"/>
    <x v="0"/>
    <x v="0"/>
    <x v="0"/>
    <x v="0"/>
    <n v="4"/>
    <n v="48.9"/>
    <n v="20"/>
    <n v="156.47999999999999"/>
    <n v="41.41"/>
    <n v="19"/>
    <x v="1"/>
    <s v="UPI"/>
  </r>
  <r>
    <n v="100162"/>
    <x v="622"/>
    <s v="AD-5096-A"/>
    <x v="12"/>
    <x v="0"/>
    <x v="1"/>
    <x v="0"/>
    <n v="3"/>
    <n v="142.27000000000001"/>
    <n v="0"/>
    <n v="426.81"/>
    <n v="80.69"/>
    <n v="27"/>
    <x v="1"/>
    <s v="PayPal"/>
  </r>
  <r>
    <n v="100821"/>
    <x v="117"/>
    <s v="AD-3654-B"/>
    <x v="12"/>
    <x v="0"/>
    <x v="2"/>
    <x v="1"/>
    <n v="2"/>
    <n v="135.47"/>
    <n v="0"/>
    <n v="270.94"/>
    <n v="78.23"/>
    <n v="34"/>
    <x v="0"/>
    <s v="Google Pay"/>
  </r>
  <r>
    <n v="100705"/>
    <x v="534"/>
    <s v="AD-3986-B"/>
    <x v="11"/>
    <x v="0"/>
    <x v="3"/>
    <x v="1"/>
    <n v="4"/>
    <n v="29.28"/>
    <n v="5"/>
    <n v="111.26"/>
    <n v="24.1"/>
    <n v="21"/>
    <x v="1"/>
    <s v="NetBanking"/>
  </r>
  <r>
    <n v="101008"/>
    <x v="623"/>
    <s v="AD-9984-D"/>
    <x v="4"/>
    <x v="2"/>
    <x v="3"/>
    <x v="0"/>
    <n v="4"/>
    <n v="66.48"/>
    <n v="5"/>
    <n v="252.62"/>
    <n v="56.62"/>
    <n v="19"/>
    <x v="1"/>
    <s v="Debit Card"/>
  </r>
  <r>
    <n v="100877"/>
    <x v="624"/>
    <s v="AD-1849-C"/>
    <x v="8"/>
    <x v="2"/>
    <x v="0"/>
    <x v="2"/>
    <n v="2"/>
    <n v="13.07"/>
    <n v="0"/>
    <n v="26.14"/>
    <n v="6.3"/>
    <n v="20"/>
    <x v="1"/>
    <s v="Apple Pay"/>
  </r>
  <r>
    <n v="100895"/>
    <x v="439"/>
    <s v="AD-8215-B"/>
    <x v="6"/>
    <x v="1"/>
    <x v="4"/>
    <x v="0"/>
    <n v="3"/>
    <n v="175.6"/>
    <n v="5"/>
    <n v="500.46"/>
    <n v="131.79"/>
    <n v="27"/>
    <x v="1"/>
    <s v="NetBanking"/>
  </r>
  <r>
    <n v="100913"/>
    <x v="580"/>
    <s v="AD-8187-D"/>
    <x v="2"/>
    <x v="1"/>
    <x v="4"/>
    <x v="1"/>
    <n v="2"/>
    <n v="99.67"/>
    <n v="5"/>
    <n v="189.37"/>
    <n v="61.03"/>
    <n v="23"/>
    <x v="0"/>
    <s v="UPI"/>
  </r>
  <r>
    <n v="101198"/>
    <x v="404"/>
    <s v="AD-9955-A"/>
    <x v="18"/>
    <x v="1"/>
    <x v="0"/>
    <x v="2"/>
    <n v="3"/>
    <n v="93.55"/>
    <n v="20"/>
    <n v="224.52"/>
    <n v="71.14"/>
    <n v="33"/>
    <x v="1"/>
    <s v="Apple Pay"/>
  </r>
  <r>
    <n v="100152"/>
    <x v="625"/>
    <s v="AD-7108-C"/>
    <x v="5"/>
    <x v="0"/>
    <x v="3"/>
    <x v="1"/>
    <n v="1"/>
    <n v="77.03"/>
    <n v="0"/>
    <n v="77.03"/>
    <n v="17.43"/>
    <n v="33"/>
    <x v="0"/>
    <s v="Cash"/>
  </r>
  <r>
    <n v="100978"/>
    <x v="200"/>
    <s v="AD-5220-D"/>
    <x v="6"/>
    <x v="1"/>
    <x v="2"/>
    <x v="2"/>
    <n v="4"/>
    <n v="176.76"/>
    <n v="20"/>
    <n v="565.63"/>
    <n v="143.41999999999999"/>
    <n v="34"/>
    <x v="0"/>
    <s v="UPI"/>
  </r>
  <r>
    <n v="101002"/>
    <x v="513"/>
    <s v="AD-9510-C"/>
    <x v="8"/>
    <x v="2"/>
    <x v="3"/>
    <x v="1"/>
    <n v="2"/>
    <n v="16.53"/>
    <n v="20"/>
    <n v="26.45"/>
    <n v="9.09"/>
    <n v="27"/>
    <x v="1"/>
    <s v="Credit Card"/>
  </r>
  <r>
    <n v="100509"/>
    <x v="626"/>
    <s v="AD-8749-A"/>
    <x v="5"/>
    <x v="0"/>
    <x v="2"/>
    <x v="0"/>
    <n v="4"/>
    <n v="67.17"/>
    <n v="0"/>
    <n v="268.68"/>
    <n v="106.87"/>
    <n v="30"/>
    <x v="0"/>
    <s v="PayPal"/>
  </r>
  <r>
    <n v="100111"/>
    <x v="232"/>
    <s v="AD-3695-C"/>
    <x v="14"/>
    <x v="1"/>
    <x v="2"/>
    <x v="0"/>
    <n v="3"/>
    <n v="249.51"/>
    <n v="0"/>
    <n v="748.53"/>
    <n v="257.95999999999998"/>
    <n v="30"/>
    <x v="1"/>
    <s v="NetBanking"/>
  </r>
  <r>
    <n v="100226"/>
    <x v="627"/>
    <s v="AD-2936-D"/>
    <x v="17"/>
    <x v="2"/>
    <x v="4"/>
    <x v="1"/>
    <n v="3"/>
    <n v="36.9"/>
    <n v="0"/>
    <n v="110.7"/>
    <n v="40.799999999999997"/>
    <n v="17"/>
    <x v="0"/>
    <s v="Credit Card"/>
  </r>
  <r>
    <n v="100985"/>
    <x v="628"/>
    <s v="AD-6245-C"/>
    <x v="19"/>
    <x v="1"/>
    <x v="0"/>
    <x v="2"/>
    <n v="5"/>
    <n v="121.9"/>
    <n v="5"/>
    <n v="579.02"/>
    <n v="163.19999999999999"/>
    <n v="23"/>
    <x v="0"/>
    <s v="Credit Card"/>
  </r>
  <r>
    <n v="100851"/>
    <x v="520"/>
    <s v="AD-7344-B"/>
    <x v="3"/>
    <x v="2"/>
    <x v="4"/>
    <x v="1"/>
    <n v="3"/>
    <n v="18.13"/>
    <n v="0"/>
    <n v="54.39"/>
    <n v="11.02"/>
    <n v="25"/>
    <x v="1"/>
    <s v="Apple Pay"/>
  </r>
  <r>
    <n v="100103"/>
    <x v="629"/>
    <s v="AD-3868-A"/>
    <x v="4"/>
    <x v="2"/>
    <x v="1"/>
    <x v="1"/>
    <n v="3"/>
    <n v="55.66"/>
    <n v="10"/>
    <n v="150.28"/>
    <n v="78.88"/>
    <n v="17"/>
    <x v="0"/>
    <s v="PayPal"/>
  </r>
  <r>
    <n v="100421"/>
    <x v="75"/>
    <s v="AD-3571-D"/>
    <x v="12"/>
    <x v="0"/>
    <x v="0"/>
    <x v="2"/>
    <n v="3"/>
    <n v="122.31"/>
    <n v="10"/>
    <n v="330.24"/>
    <n v="92.75"/>
    <n v="22"/>
    <x v="0"/>
    <s v="Credit Card"/>
  </r>
  <r>
    <n v="100419"/>
    <x v="83"/>
    <s v="AD-1202-B"/>
    <x v="9"/>
    <x v="2"/>
    <x v="1"/>
    <x v="0"/>
    <n v="3"/>
    <n v="21.88"/>
    <n v="10"/>
    <n v="59.08"/>
    <n v="16.36"/>
    <n v="17"/>
    <x v="1"/>
    <s v="Cash"/>
  </r>
  <r>
    <n v="100624"/>
    <x v="630"/>
    <s v="AD-6711-B"/>
    <x v="6"/>
    <x v="1"/>
    <x v="4"/>
    <x v="1"/>
    <n v="1"/>
    <n v="190.17"/>
    <n v="10"/>
    <n v="171.15"/>
    <n v="49.27"/>
    <n v="27"/>
    <x v="0"/>
    <s v="NetBanking"/>
  </r>
  <r>
    <n v="100586"/>
    <x v="90"/>
    <s v="AD-1643-D"/>
    <x v="18"/>
    <x v="1"/>
    <x v="0"/>
    <x v="0"/>
    <n v="3"/>
    <n v="85.28"/>
    <n v="5"/>
    <n v="243.05"/>
    <n v="78.3"/>
    <n v="28"/>
    <x v="2"/>
    <s v="Apple Pay"/>
  </r>
  <r>
    <n v="101060"/>
    <x v="597"/>
    <s v="AD-1393-B"/>
    <x v="0"/>
    <x v="0"/>
    <x v="2"/>
    <x v="0"/>
    <n v="3"/>
    <n v="58.05"/>
    <n v="10"/>
    <n v="156.72999999999999"/>
    <n v="50.62"/>
    <n v="30"/>
    <x v="1"/>
    <s v="UPI"/>
  </r>
  <r>
    <n v="100919"/>
    <x v="409"/>
    <s v="AD-7039-A"/>
    <x v="12"/>
    <x v="0"/>
    <x v="4"/>
    <x v="1"/>
    <n v="2"/>
    <n v="123.75"/>
    <n v="5"/>
    <n v="235.12"/>
    <n v="53.12"/>
    <n v="34"/>
    <x v="1"/>
    <s v="Credit Card"/>
  </r>
  <r>
    <n v="100672"/>
    <x v="360"/>
    <s v="AD-6268-B"/>
    <x v="13"/>
    <x v="0"/>
    <x v="3"/>
    <x v="1"/>
    <n v="6"/>
    <n v="132.09"/>
    <n v="0"/>
    <n v="792.54"/>
    <n v="276.43"/>
    <n v="32"/>
    <x v="1"/>
    <s v="PayPal"/>
  </r>
  <r>
    <n v="100119"/>
    <x v="631"/>
    <s v="AD-1992-D"/>
    <x v="5"/>
    <x v="0"/>
    <x v="4"/>
    <x v="1"/>
    <n v="5"/>
    <n v="77.53"/>
    <n v="0"/>
    <n v="387.65"/>
    <n v="167.59"/>
    <n v="34"/>
    <x v="1"/>
    <s v="Cash"/>
  </r>
  <r>
    <n v="100053"/>
    <x v="632"/>
    <s v="AD-5543-D"/>
    <x v="8"/>
    <x v="2"/>
    <x v="4"/>
    <x v="2"/>
    <n v="4"/>
    <n v="15.09"/>
    <n v="5"/>
    <n v="57.34"/>
    <n v="16.97"/>
    <n v="31"/>
    <x v="1"/>
    <s v="UPI"/>
  </r>
  <r>
    <n v="100151"/>
    <x v="361"/>
    <s v="AD-9266-B"/>
    <x v="14"/>
    <x v="1"/>
    <x v="1"/>
    <x v="2"/>
    <n v="1"/>
    <n v="228.82"/>
    <n v="0"/>
    <n v="228.82"/>
    <n v="71.19"/>
    <n v="26"/>
    <x v="0"/>
    <s v="Debit Card"/>
  </r>
  <r>
    <n v="100403"/>
    <x v="68"/>
    <s v="AD-3736-A"/>
    <x v="5"/>
    <x v="0"/>
    <x v="2"/>
    <x v="0"/>
    <n v="3"/>
    <n v="62.43"/>
    <n v="20"/>
    <n v="149.83000000000001"/>
    <n v="43.51"/>
    <n v="31"/>
    <x v="1"/>
    <s v="NetBanking"/>
  </r>
  <r>
    <n v="101188"/>
    <x v="161"/>
    <s v="AD-1558-D"/>
    <x v="4"/>
    <x v="2"/>
    <x v="4"/>
    <x v="0"/>
    <n v="1"/>
    <n v="53.84"/>
    <n v="10"/>
    <n v="48.46"/>
    <n v="18.420000000000002"/>
    <n v="29"/>
    <x v="1"/>
    <s v="NetBanking"/>
  </r>
  <r>
    <n v="100207"/>
    <x v="548"/>
    <s v="AD-6040-A"/>
    <x v="17"/>
    <x v="2"/>
    <x v="0"/>
    <x v="0"/>
    <n v="1"/>
    <n v="38.24"/>
    <n v="5"/>
    <n v="36.33"/>
    <n v="13.84"/>
    <n v="30"/>
    <x v="0"/>
    <s v="Apple Pay"/>
  </r>
  <r>
    <n v="101134"/>
    <x v="633"/>
    <s v="AD-6268-B"/>
    <x v="13"/>
    <x v="0"/>
    <x v="1"/>
    <x v="0"/>
    <n v="3"/>
    <n v="145.36000000000001"/>
    <n v="10"/>
    <n v="392.47"/>
    <n v="123.98"/>
    <n v="48"/>
    <x v="1"/>
    <s v="Google Pay"/>
  </r>
  <r>
    <n v="100658"/>
    <x v="493"/>
    <s v="AD-3923-D"/>
    <x v="1"/>
    <x v="0"/>
    <x v="4"/>
    <x v="3"/>
    <n v="2"/>
    <n v="25.8"/>
    <n v="20"/>
    <n v="41.28"/>
    <n v="9.51"/>
    <n v="40"/>
    <x v="1"/>
    <s v="Apple Pay"/>
  </r>
  <r>
    <n v="101096"/>
    <x v="634"/>
    <s v="AD-8096-B"/>
    <x v="8"/>
    <x v="2"/>
    <x v="1"/>
    <x v="0"/>
    <n v="2"/>
    <n v="12.76"/>
    <n v="0"/>
    <n v="25.52"/>
    <n v="9.16"/>
    <n v="22"/>
    <x v="0"/>
    <s v="Apple Pay"/>
  </r>
  <r>
    <n v="100232"/>
    <x v="635"/>
    <s v="AD-6049-A"/>
    <x v="15"/>
    <x v="1"/>
    <x v="1"/>
    <x v="1"/>
    <n v="1"/>
    <n v="147.78"/>
    <n v="5"/>
    <n v="140.38999999999999"/>
    <n v="41.21"/>
    <n v="39"/>
    <x v="1"/>
    <s v="Google Pay"/>
  </r>
  <r>
    <n v="100008"/>
    <x v="393"/>
    <s v="AD-4483-D"/>
    <x v="15"/>
    <x v="1"/>
    <x v="1"/>
    <x v="0"/>
    <n v="2"/>
    <n v="152.62"/>
    <n v="0"/>
    <n v="305.24"/>
    <n v="105.03"/>
    <n v="21"/>
    <x v="0"/>
    <s v="Cash"/>
  </r>
  <r>
    <n v="100159"/>
    <x v="166"/>
    <s v="AD-8170-A"/>
    <x v="12"/>
    <x v="0"/>
    <x v="4"/>
    <x v="1"/>
    <n v="3"/>
    <n v="145.52000000000001"/>
    <n v="20"/>
    <n v="349.25"/>
    <n v="86.95"/>
    <n v="25"/>
    <x v="0"/>
    <s v="PayPal"/>
  </r>
  <r>
    <n v="100036"/>
    <x v="500"/>
    <s v="AD-1685-C"/>
    <x v="14"/>
    <x v="1"/>
    <x v="2"/>
    <x v="1"/>
    <n v="4"/>
    <n v="223.77"/>
    <n v="0"/>
    <n v="895.08"/>
    <n v="212.77"/>
    <n v="30"/>
    <x v="1"/>
    <s v="PayPal"/>
  </r>
  <r>
    <n v="100452"/>
    <x v="29"/>
    <s v="AD-8391-D"/>
    <x v="1"/>
    <x v="0"/>
    <x v="0"/>
    <x v="0"/>
    <n v="1"/>
    <n v="22.4"/>
    <n v="0"/>
    <n v="22.4"/>
    <n v="7.39"/>
    <n v="39"/>
    <x v="1"/>
    <s v="Apple Pay"/>
  </r>
  <r>
    <n v="100651"/>
    <x v="359"/>
    <s v="AD-5466-C"/>
    <x v="10"/>
    <x v="2"/>
    <x v="4"/>
    <x v="2"/>
    <n v="5"/>
    <n v="45.43"/>
    <n v="0"/>
    <n v="227.15"/>
    <n v="90.51"/>
    <n v="16"/>
    <x v="0"/>
    <s v="Apple Pay"/>
  </r>
  <r>
    <n v="100253"/>
    <x v="636"/>
    <s v="AD-4015-A"/>
    <x v="9"/>
    <x v="2"/>
    <x v="0"/>
    <x v="0"/>
    <n v="1"/>
    <n v="21.28"/>
    <n v="5"/>
    <n v="20.22"/>
    <n v="5.8"/>
    <n v="27"/>
    <x v="1"/>
    <s v="Google Pay"/>
  </r>
  <r>
    <n v="100303"/>
    <x v="637"/>
    <s v="AD-7046-D"/>
    <x v="2"/>
    <x v="1"/>
    <x v="2"/>
    <x v="0"/>
    <n v="4"/>
    <n v="110.28"/>
    <n v="0"/>
    <n v="441.12"/>
    <n v="163.15"/>
    <n v="30"/>
    <x v="1"/>
    <s v="NetBanking"/>
  </r>
  <r>
    <n v="100896"/>
    <x v="82"/>
    <s v="AD-3853-B"/>
    <x v="17"/>
    <x v="2"/>
    <x v="1"/>
    <x v="3"/>
    <n v="3"/>
    <n v="37.17"/>
    <n v="0"/>
    <n v="111.51"/>
    <n v="32.729999999999997"/>
    <n v="33"/>
    <x v="1"/>
    <s v="NetBanking"/>
  </r>
  <r>
    <n v="101048"/>
    <x v="399"/>
    <s v="AD-5430-A"/>
    <x v="8"/>
    <x v="2"/>
    <x v="4"/>
    <x v="0"/>
    <n v="2"/>
    <n v="15.14"/>
    <n v="20"/>
    <n v="24.22"/>
    <n v="8.77"/>
    <n v="28"/>
    <x v="0"/>
    <s v="PayPal"/>
  </r>
  <r>
    <n v="100880"/>
    <x v="312"/>
    <s v="AD-1456-D"/>
    <x v="2"/>
    <x v="1"/>
    <x v="4"/>
    <x v="0"/>
    <n v="5"/>
    <n v="99.39"/>
    <n v="0"/>
    <n v="496.95"/>
    <n v="145.88999999999999"/>
    <n v="33"/>
    <x v="1"/>
    <s v="Debit Card"/>
  </r>
  <r>
    <n v="100571"/>
    <x v="638"/>
    <s v="AD-7332-B"/>
    <x v="1"/>
    <x v="0"/>
    <x v="2"/>
    <x v="0"/>
    <n v="2"/>
    <n v="24.21"/>
    <n v="0"/>
    <n v="48.42"/>
    <n v="13.29"/>
    <n v="25"/>
    <x v="1"/>
    <s v="NetBanking"/>
  </r>
  <r>
    <n v="100623"/>
    <x v="326"/>
    <s v="AD-6320-D"/>
    <x v="19"/>
    <x v="1"/>
    <x v="1"/>
    <x v="0"/>
    <n v="3"/>
    <n v="144.21"/>
    <n v="40"/>
    <n v="259.58"/>
    <n v="84.4"/>
    <n v="44"/>
    <x v="0"/>
    <s v="Cash"/>
  </r>
  <r>
    <n v="101144"/>
    <x v="639"/>
    <s v="AD-8320-A"/>
    <x v="14"/>
    <x v="1"/>
    <x v="4"/>
    <x v="0"/>
    <n v="3"/>
    <n v="228.98"/>
    <n v="0"/>
    <n v="686.94"/>
    <n v="181.13"/>
    <n v="34"/>
    <x v="1"/>
    <s v="Apple Pay"/>
  </r>
  <r>
    <n v="101030"/>
    <x v="529"/>
    <s v="AD-4874-A"/>
    <x v="18"/>
    <x v="1"/>
    <x v="0"/>
    <x v="0"/>
    <n v="5"/>
    <n v="86.12"/>
    <n v="0"/>
    <n v="430.6"/>
    <n v="99.43"/>
    <n v="20"/>
    <x v="1"/>
    <s v="Credit Card"/>
  </r>
  <r>
    <n v="101145"/>
    <x v="466"/>
    <s v="AD-4700-A"/>
    <x v="10"/>
    <x v="2"/>
    <x v="1"/>
    <x v="1"/>
    <n v="3"/>
    <n v="42.38"/>
    <n v="20"/>
    <n v="101.71"/>
    <n v="28.14"/>
    <n v="33"/>
    <x v="1"/>
    <s v="Google Pay"/>
  </r>
  <r>
    <n v="100262"/>
    <x v="304"/>
    <s v="AD-5903-B"/>
    <x v="16"/>
    <x v="1"/>
    <x v="0"/>
    <x v="1"/>
    <n v="5"/>
    <n v="41.04"/>
    <n v="0"/>
    <n v="205.2"/>
    <n v="55.35"/>
    <n v="20"/>
    <x v="1"/>
    <s v="Debit Card"/>
  </r>
  <r>
    <n v="100610"/>
    <x v="640"/>
    <s v="AD-4070-A"/>
    <x v="6"/>
    <x v="1"/>
    <x v="1"/>
    <x v="1"/>
    <n v="3"/>
    <n v="189.4"/>
    <n v="5"/>
    <n v="539.79"/>
    <n v="131.22999999999999"/>
    <n v="22"/>
    <x v="1"/>
    <s v="Apple Pay"/>
  </r>
  <r>
    <n v="100297"/>
    <x v="641"/>
    <s v="AD-5877-A"/>
    <x v="15"/>
    <x v="1"/>
    <x v="1"/>
    <x v="0"/>
    <n v="2"/>
    <n v="156.19"/>
    <n v="0"/>
    <n v="312.38"/>
    <n v="69.31"/>
    <n v="25"/>
    <x v="1"/>
    <s v="UPI"/>
  </r>
  <r>
    <n v="100989"/>
    <x v="642"/>
    <s v="AD-5626-B"/>
    <x v="4"/>
    <x v="2"/>
    <x v="3"/>
    <x v="1"/>
    <n v="6"/>
    <n v="63.16"/>
    <n v="0"/>
    <n v="378.96"/>
    <n v="109"/>
    <n v="37"/>
    <x v="1"/>
    <s v="NetBanking"/>
  </r>
  <r>
    <n v="100414"/>
    <x v="76"/>
    <s v="AD-2898-A"/>
    <x v="7"/>
    <x v="1"/>
    <x v="2"/>
    <x v="0"/>
    <n v="4"/>
    <n v="162.08000000000001"/>
    <n v="0"/>
    <n v="648.32000000000005"/>
    <n v="195.84"/>
    <n v="30"/>
    <x v="0"/>
    <s v="Apple Pay"/>
  </r>
  <r>
    <n v="100150"/>
    <x v="643"/>
    <s v="AD-6267-D"/>
    <x v="17"/>
    <x v="2"/>
    <x v="0"/>
    <x v="2"/>
    <n v="5"/>
    <n v="39.869999999999997"/>
    <n v="0"/>
    <n v="199.35"/>
    <n v="75.3"/>
    <n v="18"/>
    <x v="1"/>
    <s v="UPI"/>
  </r>
  <r>
    <n v="100945"/>
    <x v="494"/>
    <s v="AD-1388-B"/>
    <x v="13"/>
    <x v="0"/>
    <x v="0"/>
    <x v="1"/>
    <n v="5"/>
    <n v="112.2"/>
    <n v="0"/>
    <n v="561"/>
    <n v="134.72"/>
    <n v="16"/>
    <x v="0"/>
    <s v="NetBanking"/>
  </r>
  <r>
    <n v="100472"/>
    <x v="126"/>
    <s v="AD-8207-B"/>
    <x v="11"/>
    <x v="0"/>
    <x v="1"/>
    <x v="1"/>
    <n v="3"/>
    <n v="29.45"/>
    <n v="5"/>
    <n v="83.93"/>
    <n v="19.21"/>
    <n v="33"/>
    <x v="1"/>
    <s v="PayPal"/>
  </r>
  <r>
    <n v="100952"/>
    <x v="254"/>
    <s v="AD-5215-D"/>
    <x v="2"/>
    <x v="1"/>
    <x v="2"/>
    <x v="1"/>
    <n v="4"/>
    <n v="95.66"/>
    <n v="0"/>
    <n v="382.64"/>
    <n v="106.68"/>
    <n v="39"/>
    <x v="1"/>
    <s v="PayPal"/>
  </r>
  <r>
    <n v="100987"/>
    <x v="48"/>
    <s v="AD-1861-B"/>
    <x v="12"/>
    <x v="0"/>
    <x v="0"/>
    <x v="0"/>
    <n v="4"/>
    <n v="148.11000000000001"/>
    <n v="10"/>
    <n v="533.20000000000005"/>
    <n v="136.19"/>
    <n v="36"/>
    <x v="0"/>
    <s v="UPI"/>
  </r>
  <r>
    <n v="100778"/>
    <x v="637"/>
    <s v="AD-5616-B"/>
    <x v="9"/>
    <x v="2"/>
    <x v="4"/>
    <x v="0"/>
    <n v="3"/>
    <n v="21.53"/>
    <n v="0"/>
    <n v="64.59"/>
    <n v="13.01"/>
    <n v="26"/>
    <x v="0"/>
    <s v="Cash"/>
  </r>
  <r>
    <n v="100640"/>
    <x v="273"/>
    <s v="AD-8617-A"/>
    <x v="17"/>
    <x v="2"/>
    <x v="0"/>
    <x v="0"/>
    <n v="4"/>
    <n v="38.24"/>
    <n v="5"/>
    <n v="145.31"/>
    <n v="46.46"/>
    <n v="25"/>
    <x v="0"/>
    <s v="NetBanking"/>
  </r>
  <r>
    <n v="101189"/>
    <x v="644"/>
    <s v="AD-6861-B"/>
    <x v="11"/>
    <x v="0"/>
    <x v="1"/>
    <x v="1"/>
    <n v="3"/>
    <n v="30.2"/>
    <n v="0"/>
    <n v="90.6"/>
    <n v="23.02"/>
    <n v="44"/>
    <x v="1"/>
    <s v="PayPal"/>
  </r>
  <r>
    <n v="101142"/>
    <x v="364"/>
    <s v="AD-1860-C"/>
    <x v="4"/>
    <x v="2"/>
    <x v="4"/>
    <x v="1"/>
    <n v="3"/>
    <n v="63.38"/>
    <n v="20"/>
    <n v="152.11000000000001"/>
    <n v="48.89"/>
    <n v="31"/>
    <x v="0"/>
    <s v="Credit Card"/>
  </r>
  <r>
    <n v="100550"/>
    <x v="645"/>
    <s v="AD-2705-B"/>
    <x v="18"/>
    <x v="1"/>
    <x v="0"/>
    <x v="1"/>
    <n v="3"/>
    <n v="87.2"/>
    <n v="0"/>
    <n v="261.60000000000002"/>
    <n v="63.47"/>
    <n v="16"/>
    <x v="0"/>
    <s v="Apple Pay"/>
  </r>
  <r>
    <n v="100639"/>
    <x v="429"/>
    <s v="AD-8917-C"/>
    <x v="10"/>
    <x v="2"/>
    <x v="2"/>
    <x v="1"/>
    <n v="1"/>
    <n v="48.04"/>
    <n v="40"/>
    <n v="28.82"/>
    <n v="13.53"/>
    <n v="23"/>
    <x v="1"/>
    <s v="Credit Card"/>
  </r>
  <r>
    <n v="100935"/>
    <x v="445"/>
    <s v="AD-4613-A"/>
    <x v="2"/>
    <x v="1"/>
    <x v="4"/>
    <x v="0"/>
    <n v="1"/>
    <n v="76.73"/>
    <n v="10"/>
    <n v="69.06"/>
    <n v="23.17"/>
    <n v="54"/>
    <x v="0"/>
    <s v="Debit Card"/>
  </r>
  <r>
    <n v="100928"/>
    <x v="646"/>
    <s v="AD-7244-C"/>
    <x v="3"/>
    <x v="2"/>
    <x v="4"/>
    <x v="0"/>
    <n v="3"/>
    <n v="18.350000000000001"/>
    <n v="20"/>
    <n v="44.04"/>
    <n v="18.399999999999999"/>
    <n v="38"/>
    <x v="1"/>
    <s v="Google Pay"/>
  </r>
  <r>
    <n v="100488"/>
    <x v="647"/>
    <s v="AD-3633-D"/>
    <x v="7"/>
    <x v="1"/>
    <x v="1"/>
    <x v="1"/>
    <n v="1"/>
    <n v="143.94"/>
    <n v="10"/>
    <n v="129.55000000000001"/>
    <n v="29.34"/>
    <n v="25"/>
    <x v="0"/>
    <s v="Credit Card"/>
  </r>
  <r>
    <n v="100819"/>
    <x v="648"/>
    <s v="AD-4149-D"/>
    <x v="19"/>
    <x v="1"/>
    <x v="1"/>
    <x v="1"/>
    <n v="2"/>
    <n v="140.96"/>
    <n v="0"/>
    <n v="281.92"/>
    <n v="97.1"/>
    <n v="32"/>
    <x v="1"/>
    <s v="NetBanking"/>
  </r>
  <r>
    <n v="100710"/>
    <x v="609"/>
    <s v="AD-1406-D"/>
    <x v="18"/>
    <x v="1"/>
    <x v="2"/>
    <x v="0"/>
    <n v="2"/>
    <n v="75.56"/>
    <n v="0"/>
    <n v="151.12"/>
    <n v="33.24"/>
    <n v="22"/>
    <x v="0"/>
    <s v="NetBanking"/>
  </r>
  <r>
    <n v="101080"/>
    <x v="5"/>
    <s v="AD-5422-A"/>
    <x v="12"/>
    <x v="0"/>
    <x v="4"/>
    <x v="2"/>
    <n v="2"/>
    <n v="118.66"/>
    <n v="0"/>
    <n v="237.32"/>
    <n v="70.12"/>
    <n v="24"/>
    <x v="0"/>
    <s v="UPI"/>
  </r>
  <r>
    <n v="100147"/>
    <x v="490"/>
    <s v="AD-6179-B"/>
    <x v="17"/>
    <x v="2"/>
    <x v="1"/>
    <x v="3"/>
    <n v="2"/>
    <n v="41.99"/>
    <n v="0"/>
    <n v="83.98"/>
    <n v="29.95"/>
    <n v="34"/>
    <x v="0"/>
    <s v="Cash"/>
  </r>
  <r>
    <n v="100146"/>
    <x v="649"/>
    <s v="AD-3902-D"/>
    <x v="18"/>
    <x v="1"/>
    <x v="4"/>
    <x v="1"/>
    <n v="3"/>
    <n v="77.599999999999994"/>
    <n v="10"/>
    <n v="209.52"/>
    <n v="72.59"/>
    <n v="29"/>
    <x v="0"/>
    <s v="Debit Card"/>
  </r>
  <r>
    <n v="101174"/>
    <x v="650"/>
    <s v="AD-4268-C"/>
    <x v="0"/>
    <x v="0"/>
    <x v="4"/>
    <x v="0"/>
    <n v="2"/>
    <n v="53.3"/>
    <n v="0"/>
    <n v="106.6"/>
    <n v="22.83"/>
    <n v="32"/>
    <x v="0"/>
    <s v="PayPal"/>
  </r>
  <r>
    <n v="100962"/>
    <x v="651"/>
    <s v="AD-6047-A"/>
    <x v="17"/>
    <x v="2"/>
    <x v="1"/>
    <x v="0"/>
    <n v="5"/>
    <n v="38.92"/>
    <n v="0"/>
    <n v="194.6"/>
    <n v="66.099999999999994"/>
    <n v="33"/>
    <x v="0"/>
    <s v="Apple Pay"/>
  </r>
  <r>
    <n v="100345"/>
    <x v="101"/>
    <s v="AD-1567-B"/>
    <x v="4"/>
    <x v="2"/>
    <x v="4"/>
    <x v="0"/>
    <n v="1"/>
    <n v="57.64"/>
    <n v="20"/>
    <n v="46.11"/>
    <n v="14.49"/>
    <n v="24"/>
    <x v="1"/>
    <s v="PayPal"/>
  </r>
  <r>
    <n v="100402"/>
    <x v="403"/>
    <s v="AD-1293-A"/>
    <x v="8"/>
    <x v="2"/>
    <x v="1"/>
    <x v="0"/>
    <n v="2"/>
    <n v="12.41"/>
    <n v="20"/>
    <n v="19.86"/>
    <n v="6.91"/>
    <n v="37"/>
    <x v="1"/>
    <s v="UPI"/>
  </r>
  <r>
    <n v="100931"/>
    <x v="397"/>
    <s v="AD-3759-A"/>
    <x v="7"/>
    <x v="1"/>
    <x v="4"/>
    <x v="0"/>
    <n v="4"/>
    <n v="174.33"/>
    <n v="20"/>
    <n v="557.86"/>
    <n v="139.22999999999999"/>
    <n v="16"/>
    <x v="1"/>
    <s v="Apple Pay"/>
  </r>
  <r>
    <n v="100954"/>
    <x v="111"/>
    <s v="AD-7812-D"/>
    <x v="16"/>
    <x v="1"/>
    <x v="2"/>
    <x v="1"/>
    <n v="2"/>
    <n v="33.6"/>
    <n v="10"/>
    <n v="60.48"/>
    <n v="17.829999999999998"/>
    <n v="32"/>
    <x v="1"/>
    <s v="Apple Pay"/>
  </r>
  <r>
    <n v="101124"/>
    <x v="234"/>
    <s v="AD-1515-A"/>
    <x v="13"/>
    <x v="0"/>
    <x v="1"/>
    <x v="0"/>
    <n v="4"/>
    <n v="122.95"/>
    <n v="0"/>
    <n v="491.8"/>
    <n v="101.2"/>
    <n v="18"/>
    <x v="1"/>
    <s v="PayPal"/>
  </r>
  <r>
    <n v="100659"/>
    <x v="331"/>
    <s v="AD-5243-A"/>
    <x v="14"/>
    <x v="1"/>
    <x v="1"/>
    <x v="1"/>
    <n v="3"/>
    <n v="199.43"/>
    <n v="0"/>
    <n v="598.29"/>
    <n v="224.28"/>
    <n v="44"/>
    <x v="1"/>
    <s v="Google Pay"/>
  </r>
  <r>
    <n v="100463"/>
    <x v="479"/>
    <s v="AD-3879-A"/>
    <x v="13"/>
    <x v="0"/>
    <x v="1"/>
    <x v="0"/>
    <n v="3"/>
    <n v="117.99"/>
    <n v="0"/>
    <n v="353.97"/>
    <n v="116.32"/>
    <n v="27"/>
    <x v="1"/>
    <s v="Debit Card"/>
  </r>
  <r>
    <n v="100186"/>
    <x v="236"/>
    <s v="AD-6692-A"/>
    <x v="2"/>
    <x v="1"/>
    <x v="2"/>
    <x v="0"/>
    <n v="4"/>
    <n v="82.96"/>
    <n v="5"/>
    <n v="315.25"/>
    <n v="106.56"/>
    <n v="22"/>
    <x v="1"/>
    <s v="Cash"/>
  </r>
  <r>
    <n v="100608"/>
    <x v="652"/>
    <s v="AD-1917-C"/>
    <x v="3"/>
    <x v="2"/>
    <x v="1"/>
    <x v="0"/>
    <n v="2"/>
    <n v="18.899999999999999"/>
    <n v="0"/>
    <n v="37.799999999999997"/>
    <n v="11.84"/>
    <n v="22"/>
    <x v="0"/>
    <s v="Apple Pay"/>
  </r>
  <r>
    <n v="100143"/>
    <x v="653"/>
    <s v="AD-6928-A"/>
    <x v="18"/>
    <x v="1"/>
    <x v="3"/>
    <x v="0"/>
    <n v="4"/>
    <n v="102.9"/>
    <n v="5"/>
    <n v="391.02"/>
    <n v="106.05"/>
    <n v="30"/>
    <x v="0"/>
    <s v="Google Pay"/>
  </r>
  <r>
    <n v="100751"/>
    <x v="654"/>
    <s v="AD-4844-C"/>
    <x v="4"/>
    <x v="2"/>
    <x v="1"/>
    <x v="0"/>
    <n v="1"/>
    <n v="60.95"/>
    <n v="5"/>
    <n v="57.9"/>
    <n v="23.88"/>
    <n v="28"/>
    <x v="0"/>
    <s v="UPI"/>
  </r>
  <r>
    <n v="100981"/>
    <x v="249"/>
    <s v="AD-2902-C"/>
    <x v="18"/>
    <x v="1"/>
    <x v="4"/>
    <x v="0"/>
    <n v="4"/>
    <n v="82.89"/>
    <n v="5"/>
    <n v="314.98"/>
    <n v="108.31"/>
    <n v="28"/>
    <x v="0"/>
    <s v="UPI"/>
  </r>
  <r>
    <n v="100197"/>
    <x v="655"/>
    <s v="AD-4960-D"/>
    <x v="11"/>
    <x v="0"/>
    <x v="4"/>
    <x v="0"/>
    <n v="4"/>
    <n v="32.51"/>
    <n v="0"/>
    <n v="130.04"/>
    <n v="35.06"/>
    <n v="37"/>
    <x v="0"/>
    <s v="Cash"/>
  </r>
  <r>
    <n v="100883"/>
    <x v="502"/>
    <s v="AD-2065-B"/>
    <x v="3"/>
    <x v="2"/>
    <x v="4"/>
    <x v="0"/>
    <n v="3"/>
    <n v="18.16"/>
    <n v="0"/>
    <n v="54.48"/>
    <n v="10.23"/>
    <n v="46"/>
    <x v="1"/>
    <s v="Cash"/>
  </r>
  <r>
    <n v="100279"/>
    <x v="58"/>
    <s v="AD-6890-A"/>
    <x v="12"/>
    <x v="0"/>
    <x v="2"/>
    <x v="2"/>
    <n v="2"/>
    <n v="133.16999999999999"/>
    <n v="0"/>
    <n v="266.33999999999997"/>
    <n v="62.03"/>
    <n v="35"/>
    <x v="1"/>
    <s v="Credit Card"/>
  </r>
  <r>
    <n v="100293"/>
    <x v="130"/>
    <s v="AD-8939-B"/>
    <x v="14"/>
    <x v="1"/>
    <x v="2"/>
    <x v="1"/>
    <n v="4"/>
    <n v="225.31"/>
    <n v="20"/>
    <n v="720.99"/>
    <n v="212.69"/>
    <n v="28"/>
    <x v="0"/>
    <s v="Credit Card"/>
  </r>
  <r>
    <n v="101088"/>
    <x v="617"/>
    <s v="AD-4917-B"/>
    <x v="0"/>
    <x v="0"/>
    <x v="2"/>
    <x v="0"/>
    <n v="2"/>
    <n v="56.29"/>
    <n v="5"/>
    <n v="106.95"/>
    <n v="34.26"/>
    <n v="22"/>
    <x v="0"/>
    <s v="Apple Pay"/>
  </r>
  <r>
    <n v="100400"/>
    <x v="656"/>
    <s v="AD-3595-D"/>
    <x v="7"/>
    <x v="1"/>
    <x v="4"/>
    <x v="1"/>
    <n v="1"/>
    <n v="165.61"/>
    <n v="5"/>
    <n v="157.33000000000001"/>
    <n v="47.35"/>
    <n v="28"/>
    <x v="1"/>
    <s v="PayPal"/>
  </r>
  <r>
    <n v="100122"/>
    <x v="30"/>
    <s v="AD-9850-C"/>
    <x v="14"/>
    <x v="1"/>
    <x v="0"/>
    <x v="0"/>
    <n v="2"/>
    <n v="215.43"/>
    <n v="0"/>
    <n v="430.86"/>
    <n v="96.88"/>
    <n v="16"/>
    <x v="2"/>
    <s v="PayPal"/>
  </r>
  <r>
    <n v="100202"/>
    <x v="657"/>
    <s v="AD-6939-C"/>
    <x v="1"/>
    <x v="0"/>
    <x v="0"/>
    <x v="0"/>
    <n v="3"/>
    <n v="25.75"/>
    <n v="0"/>
    <n v="77.25"/>
    <n v="21.23"/>
    <n v="26"/>
    <x v="1"/>
    <s v="UPI"/>
  </r>
  <r>
    <n v="100835"/>
    <x v="658"/>
    <s v="AD-9919-D"/>
    <x v="1"/>
    <x v="0"/>
    <x v="0"/>
    <x v="0"/>
    <n v="1"/>
    <n v="26.32"/>
    <n v="0"/>
    <n v="26.32"/>
    <n v="8.5500000000000007"/>
    <n v="41"/>
    <x v="1"/>
    <s v="UPI"/>
  </r>
  <r>
    <n v="100246"/>
    <x v="659"/>
    <s v="AD-7179-A"/>
    <x v="3"/>
    <x v="2"/>
    <x v="4"/>
    <x v="1"/>
    <n v="2"/>
    <n v="18.82"/>
    <n v="0"/>
    <n v="37.64"/>
    <n v="14"/>
    <n v="20"/>
    <x v="1"/>
    <s v="NetBanking"/>
  </r>
  <r>
    <n v="101139"/>
    <x v="642"/>
    <s v="AD-6196-C"/>
    <x v="6"/>
    <x v="1"/>
    <x v="4"/>
    <x v="2"/>
    <n v="4"/>
    <n v="173.14"/>
    <n v="10"/>
    <n v="623.29999999999995"/>
    <n v="146.57"/>
    <n v="24"/>
    <x v="0"/>
    <s v="NetBanking"/>
  </r>
  <r>
    <n v="100384"/>
    <x v="169"/>
    <s v="AD-4963-C"/>
    <x v="11"/>
    <x v="0"/>
    <x v="1"/>
    <x v="1"/>
    <n v="1"/>
    <n v="28.03"/>
    <n v="0"/>
    <n v="28.03"/>
    <n v="9.73"/>
    <n v="24"/>
    <x v="1"/>
    <s v="Credit Card"/>
  </r>
  <r>
    <n v="100854"/>
    <x v="459"/>
    <s v="AD-9235-A"/>
    <x v="19"/>
    <x v="1"/>
    <x v="0"/>
    <x v="3"/>
    <n v="3"/>
    <n v="132.88999999999999"/>
    <n v="0"/>
    <n v="398.67"/>
    <n v="113.52"/>
    <n v="22"/>
    <x v="1"/>
    <s v="Google Pay"/>
  </r>
  <r>
    <n v="100219"/>
    <x v="660"/>
    <s v="AD-4804-A"/>
    <x v="16"/>
    <x v="1"/>
    <x v="4"/>
    <x v="0"/>
    <n v="3"/>
    <n v="37.83"/>
    <n v="0"/>
    <n v="113.49"/>
    <n v="34.380000000000003"/>
    <n v="39"/>
    <x v="1"/>
    <s v="Debit Card"/>
  </r>
  <r>
    <n v="100641"/>
    <x v="261"/>
    <s v="AD-9834-C"/>
    <x v="19"/>
    <x v="1"/>
    <x v="1"/>
    <x v="1"/>
    <n v="5"/>
    <n v="129.19999999999999"/>
    <n v="10"/>
    <n v="581.4"/>
    <n v="211.31"/>
    <n v="31"/>
    <x v="0"/>
    <s v="Debit Card"/>
  </r>
  <r>
    <n v="100001"/>
    <x v="553"/>
    <s v="AD-4611-D"/>
    <x v="2"/>
    <x v="1"/>
    <x v="1"/>
    <x v="0"/>
    <n v="2"/>
    <n v="102.68"/>
    <n v="20"/>
    <n v="164.29"/>
    <n v="44.52"/>
    <n v="25"/>
    <x v="1"/>
    <s v="Apple Pay"/>
  </r>
  <r>
    <n v="100112"/>
    <x v="182"/>
    <s v="AD-2233-B"/>
    <x v="9"/>
    <x v="2"/>
    <x v="4"/>
    <x v="2"/>
    <n v="4"/>
    <n v="20.440000000000001"/>
    <n v="0"/>
    <n v="81.760000000000005"/>
    <n v="28.62"/>
    <n v="34"/>
    <x v="0"/>
    <s v="Google Pay"/>
  </r>
  <r>
    <n v="100698"/>
    <x v="126"/>
    <s v="AD-8966-A"/>
    <x v="1"/>
    <x v="0"/>
    <x v="1"/>
    <x v="0"/>
    <n v="2"/>
    <n v="25.64"/>
    <n v="0"/>
    <n v="51.28"/>
    <n v="14.88"/>
    <n v="16"/>
    <x v="1"/>
    <s v="Google Pay"/>
  </r>
  <r>
    <n v="100951"/>
    <x v="114"/>
    <s v="AD-1324-D"/>
    <x v="9"/>
    <x v="2"/>
    <x v="1"/>
    <x v="1"/>
    <n v="1"/>
    <n v="22.24"/>
    <n v="5"/>
    <n v="21.13"/>
    <n v="4.41"/>
    <n v="31"/>
    <x v="0"/>
    <s v="Google Pay"/>
  </r>
  <r>
    <n v="101078"/>
    <x v="282"/>
    <s v="AD-7560-A"/>
    <x v="7"/>
    <x v="1"/>
    <x v="4"/>
    <x v="0"/>
    <n v="2"/>
    <n v="130.94999999999999"/>
    <n v="40"/>
    <n v="157.13999999999999"/>
    <n v="45.5"/>
    <n v="16"/>
    <x v="0"/>
    <s v="UPI"/>
  </r>
  <r>
    <n v="100441"/>
    <x v="394"/>
    <s v="AD-7025-B"/>
    <x v="1"/>
    <x v="0"/>
    <x v="2"/>
    <x v="2"/>
    <n v="4"/>
    <n v="22.98"/>
    <n v="20"/>
    <n v="73.540000000000006"/>
    <n v="25.5"/>
    <n v="45"/>
    <x v="1"/>
    <s v="UPI"/>
  </r>
  <r>
    <n v="100663"/>
    <x v="661"/>
    <s v="AD-7563-A"/>
    <x v="9"/>
    <x v="2"/>
    <x v="1"/>
    <x v="3"/>
    <n v="3"/>
    <n v="19.239999999999998"/>
    <n v="10"/>
    <n v="51.95"/>
    <n v="17.14"/>
    <n v="28"/>
    <x v="1"/>
    <s v="NetBanking"/>
  </r>
  <r>
    <n v="101196"/>
    <x v="506"/>
    <s v="AD-9046-D"/>
    <x v="3"/>
    <x v="2"/>
    <x v="3"/>
    <x v="1"/>
    <n v="3"/>
    <n v="19.61"/>
    <n v="5"/>
    <n v="55.89"/>
    <n v="23.43"/>
    <n v="46"/>
    <x v="1"/>
    <s v="NetBanking"/>
  </r>
  <r>
    <n v="100317"/>
    <x v="273"/>
    <s v="AD-6185-B"/>
    <x v="5"/>
    <x v="0"/>
    <x v="0"/>
    <x v="1"/>
    <n v="1"/>
    <n v="73.06"/>
    <n v="5"/>
    <n v="69.41"/>
    <n v="17.079999999999998"/>
    <n v="26"/>
    <x v="0"/>
    <s v="Cash"/>
  </r>
  <r>
    <n v="100648"/>
    <x v="339"/>
    <s v="AD-4454-C"/>
    <x v="9"/>
    <x v="2"/>
    <x v="1"/>
    <x v="0"/>
    <n v="2"/>
    <n v="22.28"/>
    <n v="0"/>
    <n v="44.56"/>
    <n v="17.899999999999999"/>
    <n v="31"/>
    <x v="0"/>
    <s v="PayPal"/>
  </r>
  <r>
    <n v="100709"/>
    <x v="354"/>
    <s v="AD-3409-D"/>
    <x v="8"/>
    <x v="2"/>
    <x v="1"/>
    <x v="1"/>
    <n v="5"/>
    <n v="15.08"/>
    <n v="0"/>
    <n v="75.400000000000006"/>
    <n v="19.64"/>
    <n v="21"/>
    <x v="1"/>
    <s v="NetBanking"/>
  </r>
  <r>
    <n v="100972"/>
    <x v="539"/>
    <s v="AD-1272-C"/>
    <x v="9"/>
    <x v="2"/>
    <x v="0"/>
    <x v="0"/>
    <n v="3"/>
    <n v="22.45"/>
    <n v="0"/>
    <n v="67.349999999999994"/>
    <n v="19.29"/>
    <n v="34"/>
    <x v="0"/>
    <s v="Cash"/>
  </r>
  <r>
    <n v="100627"/>
    <x v="662"/>
    <s v="AD-3835-A"/>
    <x v="17"/>
    <x v="2"/>
    <x v="3"/>
    <x v="1"/>
    <n v="2"/>
    <n v="40.25"/>
    <n v="5"/>
    <n v="76.47"/>
    <n v="25.66"/>
    <n v="16"/>
    <x v="1"/>
    <s v="UPI"/>
  </r>
  <r>
    <n v="100632"/>
    <x v="663"/>
    <s v="AD-3089-C"/>
    <x v="4"/>
    <x v="2"/>
    <x v="2"/>
    <x v="3"/>
    <n v="4"/>
    <n v="61.02"/>
    <n v="0"/>
    <n v="244.08"/>
    <n v="98.09"/>
    <n v="36"/>
    <x v="0"/>
    <s v="Apple Pay"/>
  </r>
  <r>
    <n v="101171"/>
    <x v="664"/>
    <s v="AD-5641-B"/>
    <x v="6"/>
    <x v="1"/>
    <x v="0"/>
    <x v="0"/>
    <n v="3"/>
    <n v="173.57"/>
    <n v="5"/>
    <n v="494.67"/>
    <n v="161.69"/>
    <n v="35"/>
    <x v="1"/>
    <s v="Cash"/>
  </r>
  <r>
    <n v="101106"/>
    <x v="665"/>
    <s v="AD-7066-C"/>
    <x v="12"/>
    <x v="0"/>
    <x v="4"/>
    <x v="0"/>
    <n v="2"/>
    <n v="139.21"/>
    <n v="20"/>
    <n v="222.74"/>
    <n v="28.66"/>
    <n v="28"/>
    <x v="0"/>
    <s v="Credit Card"/>
  </r>
  <r>
    <n v="100795"/>
    <x v="412"/>
    <s v="AD-1067-B"/>
    <x v="0"/>
    <x v="0"/>
    <x v="4"/>
    <x v="1"/>
    <n v="2"/>
    <n v="48.21"/>
    <n v="20"/>
    <n v="77.14"/>
    <n v="22.36"/>
    <n v="47"/>
    <x v="1"/>
    <s v="UPI"/>
  </r>
  <r>
    <n v="100645"/>
    <x v="666"/>
    <s v="AD-5509-C"/>
    <x v="14"/>
    <x v="1"/>
    <x v="2"/>
    <x v="0"/>
    <n v="2"/>
    <n v="216.3"/>
    <n v="0"/>
    <n v="432.6"/>
    <n v="118.14"/>
    <n v="28"/>
    <x v="1"/>
    <s v="NetBanking"/>
  </r>
  <r>
    <n v="101012"/>
    <x v="140"/>
    <s v="AD-8812-B"/>
    <x v="13"/>
    <x v="0"/>
    <x v="1"/>
    <x v="0"/>
    <n v="1"/>
    <n v="120.04"/>
    <n v="0"/>
    <n v="120.04"/>
    <n v="37.880000000000003"/>
    <n v="17"/>
    <x v="0"/>
    <s v="Apple Pay"/>
  </r>
  <r>
    <n v="100556"/>
    <x v="667"/>
    <s v="AD-2505-D"/>
    <x v="14"/>
    <x v="1"/>
    <x v="1"/>
    <x v="1"/>
    <n v="7"/>
    <n v="242.24"/>
    <n v="10"/>
    <n v="1526.11"/>
    <n v="393.25"/>
    <n v="33"/>
    <x v="1"/>
    <s v="NetBanking"/>
  </r>
  <r>
    <n v="100681"/>
    <x v="610"/>
    <s v="AD-2160-B"/>
    <x v="15"/>
    <x v="1"/>
    <x v="4"/>
    <x v="1"/>
    <n v="4"/>
    <n v="140.09"/>
    <n v="0"/>
    <n v="560.36"/>
    <n v="172.6"/>
    <n v="47"/>
    <x v="1"/>
    <s v="Debit Card"/>
  </r>
  <r>
    <n v="100577"/>
    <x v="668"/>
    <s v="AD-4387-B"/>
    <x v="14"/>
    <x v="1"/>
    <x v="1"/>
    <x v="1"/>
    <n v="5"/>
    <n v="207.82"/>
    <n v="5"/>
    <n v="987.14"/>
    <n v="261.25"/>
    <n v="36"/>
    <x v="1"/>
    <s v="PayPal"/>
  </r>
  <r>
    <n v="100524"/>
    <x v="323"/>
    <s v="AD-6634-C"/>
    <x v="1"/>
    <x v="0"/>
    <x v="4"/>
    <x v="1"/>
    <n v="2"/>
    <n v="25.7"/>
    <n v="20"/>
    <n v="41.12"/>
    <n v="9.0399999999999991"/>
    <n v="29"/>
    <x v="0"/>
    <s v="PayPal"/>
  </r>
  <r>
    <n v="101059"/>
    <x v="362"/>
    <s v="AD-1729-A"/>
    <x v="14"/>
    <x v="1"/>
    <x v="1"/>
    <x v="0"/>
    <n v="4"/>
    <n v="203.77"/>
    <n v="20"/>
    <n v="652.05999999999995"/>
    <n v="179.72"/>
    <n v="18"/>
    <x v="1"/>
    <s v="Credit Card"/>
  </r>
  <r>
    <n v="100540"/>
    <x v="481"/>
    <s v="AD-4109-B"/>
    <x v="14"/>
    <x v="1"/>
    <x v="4"/>
    <x v="1"/>
    <n v="3"/>
    <n v="233.52"/>
    <n v="40"/>
    <n v="420.34"/>
    <n v="130.63"/>
    <n v="30"/>
    <x v="0"/>
    <s v="Google Pay"/>
  </r>
  <r>
    <n v="100748"/>
    <x v="619"/>
    <s v="AD-9037-D"/>
    <x v="7"/>
    <x v="1"/>
    <x v="4"/>
    <x v="1"/>
    <n v="4"/>
    <n v="148.94999999999999"/>
    <n v="5"/>
    <n v="566.01"/>
    <n v="168.92"/>
    <n v="16"/>
    <x v="1"/>
    <s v="Debit Card"/>
  </r>
  <r>
    <n v="101109"/>
    <x v="606"/>
    <s v="AD-5640-A"/>
    <x v="7"/>
    <x v="1"/>
    <x v="4"/>
    <x v="0"/>
    <n v="3"/>
    <n v="146.69"/>
    <n v="0"/>
    <n v="440.07"/>
    <n v="146.22999999999999"/>
    <n v="21"/>
    <x v="1"/>
    <s v="Apple Pay"/>
  </r>
  <r>
    <n v="100484"/>
    <x v="669"/>
    <s v="AD-7698-C"/>
    <x v="6"/>
    <x v="1"/>
    <x v="4"/>
    <x v="0"/>
    <n v="3"/>
    <n v="184.81"/>
    <n v="0"/>
    <n v="554.42999999999995"/>
    <n v="158.08000000000001"/>
    <n v="39"/>
    <x v="0"/>
    <s v="Cash"/>
  </r>
  <r>
    <n v="100095"/>
    <x v="670"/>
    <s v="AD-9022-B"/>
    <x v="4"/>
    <x v="2"/>
    <x v="0"/>
    <x v="0"/>
    <n v="4"/>
    <n v="64.37"/>
    <n v="5"/>
    <n v="244.61"/>
    <n v="121.38"/>
    <n v="38"/>
    <x v="1"/>
    <s v="NetBanking"/>
  </r>
  <r>
    <n v="101020"/>
    <x v="671"/>
    <s v="AD-1834-D"/>
    <x v="10"/>
    <x v="2"/>
    <x v="4"/>
    <x v="0"/>
    <n v="1"/>
    <n v="47.45"/>
    <n v="0"/>
    <n v="47.45"/>
    <n v="15.2"/>
    <n v="32"/>
    <x v="1"/>
    <s v="Cash"/>
  </r>
  <r>
    <n v="100563"/>
    <x v="672"/>
    <s v="AD-9589-B"/>
    <x v="14"/>
    <x v="1"/>
    <x v="1"/>
    <x v="0"/>
    <n v="3"/>
    <n v="227.63"/>
    <n v="0"/>
    <n v="682.89"/>
    <n v="184.94"/>
    <n v="38"/>
    <x v="1"/>
    <s v="UPI"/>
  </r>
  <r>
    <n v="100742"/>
    <x v="673"/>
    <s v="AD-8795-D"/>
    <x v="17"/>
    <x v="2"/>
    <x v="0"/>
    <x v="2"/>
    <n v="6"/>
    <n v="44.67"/>
    <n v="0"/>
    <n v="268.02"/>
    <n v="60.38"/>
    <n v="38"/>
    <x v="0"/>
    <s v="Cash"/>
  </r>
  <r>
    <n v="100863"/>
    <x v="674"/>
    <s v="AD-1684-A"/>
    <x v="7"/>
    <x v="1"/>
    <x v="1"/>
    <x v="0"/>
    <n v="2"/>
    <n v="176.79"/>
    <n v="0"/>
    <n v="353.58"/>
    <n v="99.97"/>
    <n v="33"/>
    <x v="0"/>
    <s v="Google Pay"/>
  </r>
  <r>
    <n v="100891"/>
    <x v="675"/>
    <s v="AD-2120-C"/>
    <x v="8"/>
    <x v="2"/>
    <x v="1"/>
    <x v="0"/>
    <n v="1"/>
    <n v="16.23"/>
    <n v="0"/>
    <n v="16.23"/>
    <n v="4.01"/>
    <n v="27"/>
    <x v="1"/>
    <s v="UPI"/>
  </r>
  <r>
    <n v="101038"/>
    <x v="676"/>
    <s v="AD-6476-C"/>
    <x v="1"/>
    <x v="0"/>
    <x v="4"/>
    <x v="0"/>
    <n v="3"/>
    <n v="22.33"/>
    <n v="0"/>
    <n v="66.989999999999995"/>
    <n v="27.34"/>
    <n v="46"/>
    <x v="0"/>
    <s v="Cash"/>
  </r>
  <r>
    <n v="100206"/>
    <x v="677"/>
    <s v="AD-9311-D"/>
    <x v="19"/>
    <x v="1"/>
    <x v="1"/>
    <x v="1"/>
    <n v="4"/>
    <n v="142.63"/>
    <n v="5"/>
    <n v="541.99"/>
    <n v="160.16999999999999"/>
    <n v="27"/>
    <x v="0"/>
    <s v="Cash"/>
  </r>
  <r>
    <n v="100392"/>
    <x v="678"/>
    <s v="AD-3292-A"/>
    <x v="5"/>
    <x v="0"/>
    <x v="0"/>
    <x v="2"/>
    <n v="3"/>
    <n v="71.83"/>
    <n v="0"/>
    <n v="215.49"/>
    <n v="64.22"/>
    <n v="27"/>
    <x v="0"/>
    <s v="Cash"/>
  </r>
  <r>
    <n v="100794"/>
    <x v="679"/>
    <s v="AD-6727-A"/>
    <x v="8"/>
    <x v="2"/>
    <x v="1"/>
    <x v="2"/>
    <n v="4"/>
    <n v="16.739999999999998"/>
    <n v="5"/>
    <n v="63.61"/>
    <n v="20.64"/>
    <n v="30"/>
    <x v="0"/>
    <s v="Debit Card"/>
  </r>
  <r>
    <n v="100870"/>
    <x v="680"/>
    <s v="AD-6783-D"/>
    <x v="2"/>
    <x v="1"/>
    <x v="2"/>
    <x v="2"/>
    <n v="3"/>
    <n v="108.29"/>
    <n v="0"/>
    <n v="324.87"/>
    <n v="91.11"/>
    <n v="17"/>
    <x v="1"/>
    <s v="Debit Card"/>
  </r>
  <r>
    <n v="100397"/>
    <x v="681"/>
    <s v="AD-8736-B"/>
    <x v="17"/>
    <x v="2"/>
    <x v="2"/>
    <x v="1"/>
    <n v="1"/>
    <n v="36.369999999999997"/>
    <n v="5"/>
    <n v="34.549999999999997"/>
    <n v="10.85"/>
    <n v="22"/>
    <x v="0"/>
    <s v="Debit Card"/>
  </r>
  <r>
    <n v="100766"/>
    <x v="682"/>
    <s v="AD-9133-A"/>
    <x v="10"/>
    <x v="2"/>
    <x v="1"/>
    <x v="2"/>
    <n v="2"/>
    <n v="47.14"/>
    <n v="0"/>
    <n v="94.28"/>
    <n v="27.22"/>
    <n v="17"/>
    <x v="0"/>
    <s v="NetBanking"/>
  </r>
  <r>
    <n v="101099"/>
    <x v="554"/>
    <s v="AD-7929-C"/>
    <x v="11"/>
    <x v="0"/>
    <x v="3"/>
    <x v="0"/>
    <n v="2"/>
    <n v="29.57"/>
    <n v="0"/>
    <n v="59.14"/>
    <n v="16"/>
    <n v="31"/>
    <x v="1"/>
    <s v="Credit Card"/>
  </r>
  <r>
    <n v="101028"/>
    <x v="395"/>
    <s v="AD-8852-C"/>
    <x v="15"/>
    <x v="1"/>
    <x v="1"/>
    <x v="0"/>
    <n v="3"/>
    <n v="145.07"/>
    <n v="10"/>
    <n v="391.69"/>
    <n v="137.51"/>
    <n v="24"/>
    <x v="1"/>
    <s v="UPI"/>
  </r>
  <r>
    <n v="100642"/>
    <x v="683"/>
    <s v="AD-6431-D"/>
    <x v="15"/>
    <x v="1"/>
    <x v="1"/>
    <x v="0"/>
    <n v="4"/>
    <n v="164.89"/>
    <n v="0"/>
    <n v="659.56"/>
    <n v="216.79"/>
    <n v="19"/>
    <x v="1"/>
    <s v="Google Pay"/>
  </r>
  <r>
    <n v="100612"/>
    <x v="637"/>
    <s v="AD-2517-D"/>
    <x v="0"/>
    <x v="0"/>
    <x v="1"/>
    <x v="0"/>
    <n v="2"/>
    <n v="61.75"/>
    <n v="20"/>
    <n v="98.8"/>
    <n v="23.77"/>
    <n v="19"/>
    <x v="0"/>
    <s v="UPI"/>
  </r>
  <r>
    <n v="100960"/>
    <x v="165"/>
    <s v="AD-7993-C"/>
    <x v="17"/>
    <x v="2"/>
    <x v="4"/>
    <x v="2"/>
    <n v="2"/>
    <n v="42.21"/>
    <n v="0"/>
    <n v="84.42"/>
    <n v="23.82"/>
    <n v="27"/>
    <x v="0"/>
    <s v="PayPal"/>
  </r>
  <r>
    <n v="100725"/>
    <x v="684"/>
    <s v="AD-7111-D"/>
    <x v="11"/>
    <x v="0"/>
    <x v="0"/>
    <x v="2"/>
    <n v="5"/>
    <n v="26.46"/>
    <n v="10"/>
    <n v="119.07"/>
    <n v="31.62"/>
    <n v="16"/>
    <x v="1"/>
    <s v="NetBanking"/>
  </r>
  <r>
    <n v="100683"/>
    <x v="685"/>
    <s v="AD-2204-D"/>
    <x v="5"/>
    <x v="0"/>
    <x v="0"/>
    <x v="2"/>
    <n v="5"/>
    <n v="71.91"/>
    <n v="10"/>
    <n v="323.58999999999997"/>
    <n v="110.59"/>
    <n v="36"/>
    <x v="1"/>
    <s v="UPI"/>
  </r>
  <r>
    <n v="100098"/>
    <x v="686"/>
    <s v="AD-2633-D"/>
    <x v="15"/>
    <x v="1"/>
    <x v="3"/>
    <x v="0"/>
    <n v="2"/>
    <n v="145.66"/>
    <n v="10"/>
    <n v="262.19"/>
    <n v="75.53"/>
    <n v="26"/>
    <x v="1"/>
    <s v="Google Pay"/>
  </r>
  <r>
    <n v="100804"/>
    <x v="12"/>
    <s v="AD-9115-A"/>
    <x v="15"/>
    <x v="1"/>
    <x v="3"/>
    <x v="1"/>
    <n v="2"/>
    <n v="144.69"/>
    <n v="0"/>
    <n v="289.38"/>
    <n v="81.88"/>
    <n v="25"/>
    <x v="0"/>
    <s v="PayPal"/>
  </r>
  <r>
    <n v="100406"/>
    <x v="687"/>
    <s v="AD-7147-C"/>
    <x v="14"/>
    <x v="1"/>
    <x v="4"/>
    <x v="1"/>
    <n v="2"/>
    <n v="216.38"/>
    <n v="20"/>
    <n v="346.21"/>
    <n v="92.61"/>
    <n v="32"/>
    <x v="1"/>
    <s v="Credit Card"/>
  </r>
  <r>
    <n v="100502"/>
    <x v="688"/>
    <s v="AD-9871-A"/>
    <x v="18"/>
    <x v="1"/>
    <x v="4"/>
    <x v="3"/>
    <n v="5"/>
    <n v="89.56"/>
    <n v="10"/>
    <n v="403.02"/>
    <n v="115.02"/>
    <n v="36"/>
    <x v="1"/>
    <s v="Credit Card"/>
  </r>
  <r>
    <n v="101071"/>
    <x v="689"/>
    <s v="AD-3361-D"/>
    <x v="11"/>
    <x v="0"/>
    <x v="2"/>
    <x v="1"/>
    <n v="1"/>
    <n v="30.18"/>
    <n v="5"/>
    <n v="28.67"/>
    <n v="7.28"/>
    <n v="43"/>
    <x v="1"/>
    <s v="Google Pay"/>
  </r>
  <r>
    <n v="101056"/>
    <x v="690"/>
    <s v="AD-3165-B"/>
    <x v="6"/>
    <x v="1"/>
    <x v="1"/>
    <x v="0"/>
    <n v="3"/>
    <n v="139.19999999999999"/>
    <n v="0"/>
    <n v="417.6"/>
    <n v="153.66"/>
    <n v="44"/>
    <x v="0"/>
    <s v="Credit Card"/>
  </r>
  <r>
    <n v="100929"/>
    <x v="351"/>
    <s v="AD-6359-D"/>
    <x v="12"/>
    <x v="0"/>
    <x v="1"/>
    <x v="0"/>
    <n v="4"/>
    <n v="142.22"/>
    <n v="0"/>
    <n v="568.88"/>
    <n v="177.14"/>
    <n v="28"/>
    <x v="1"/>
    <s v="PayPal"/>
  </r>
  <r>
    <n v="100779"/>
    <x v="134"/>
    <s v="AD-1339-A"/>
    <x v="4"/>
    <x v="2"/>
    <x v="1"/>
    <x v="0"/>
    <n v="3"/>
    <n v="56.54"/>
    <n v="5"/>
    <n v="161.13999999999999"/>
    <n v="47.71"/>
    <n v="22"/>
    <x v="0"/>
    <s v="UPI"/>
  </r>
  <r>
    <n v="100200"/>
    <x v="218"/>
    <s v="AD-1797-A"/>
    <x v="6"/>
    <x v="1"/>
    <x v="1"/>
    <x v="1"/>
    <n v="4"/>
    <n v="172.08"/>
    <n v="10"/>
    <n v="619.49"/>
    <n v="165.04"/>
    <n v="34"/>
    <x v="1"/>
    <s v="Cash"/>
  </r>
  <r>
    <n v="100134"/>
    <x v="151"/>
    <s v="AD-5381-A"/>
    <x v="8"/>
    <x v="2"/>
    <x v="0"/>
    <x v="1"/>
    <n v="3"/>
    <n v="15.91"/>
    <n v="0"/>
    <n v="47.73"/>
    <n v="11.03"/>
    <n v="31"/>
    <x v="0"/>
    <s v="Credit Card"/>
  </r>
  <r>
    <n v="101051"/>
    <x v="175"/>
    <s v="AD-7258-C"/>
    <x v="1"/>
    <x v="0"/>
    <x v="3"/>
    <x v="1"/>
    <n v="3"/>
    <n v="25.19"/>
    <n v="20"/>
    <n v="60.46"/>
    <n v="13.53"/>
    <n v="20"/>
    <x v="0"/>
    <s v="Debit Card"/>
  </r>
  <r>
    <n v="100040"/>
    <x v="488"/>
    <s v="AD-6378-C"/>
    <x v="0"/>
    <x v="0"/>
    <x v="2"/>
    <x v="0"/>
    <n v="3"/>
    <n v="54.83"/>
    <n v="0"/>
    <n v="164.49"/>
    <n v="40.78"/>
    <n v="26"/>
    <x v="0"/>
    <s v="Apple Pay"/>
  </r>
  <r>
    <n v="101017"/>
    <x v="134"/>
    <s v="AD-9334-B"/>
    <x v="0"/>
    <x v="0"/>
    <x v="1"/>
    <x v="2"/>
    <n v="2"/>
    <n v="53.14"/>
    <n v="0"/>
    <n v="106.28"/>
    <n v="21.38"/>
    <n v="36"/>
    <x v="0"/>
    <s v="Apple Pay"/>
  </r>
  <r>
    <n v="100230"/>
    <x v="155"/>
    <s v="AD-9792-B"/>
    <x v="11"/>
    <x v="0"/>
    <x v="0"/>
    <x v="0"/>
    <n v="2"/>
    <n v="29.29"/>
    <n v="10"/>
    <n v="52.72"/>
    <n v="18.71"/>
    <n v="23"/>
    <x v="1"/>
    <s v="UPI"/>
  </r>
  <r>
    <n v="100378"/>
    <x v="281"/>
    <s v="AD-4892-A"/>
    <x v="12"/>
    <x v="0"/>
    <x v="0"/>
    <x v="1"/>
    <n v="4"/>
    <n v="128.82"/>
    <n v="10"/>
    <n v="463.75"/>
    <n v="108.61"/>
    <n v="27"/>
    <x v="1"/>
    <s v="Cash"/>
  </r>
  <r>
    <n v="100288"/>
    <x v="45"/>
    <s v="AD-8496-A"/>
    <x v="2"/>
    <x v="1"/>
    <x v="0"/>
    <x v="1"/>
    <n v="4"/>
    <n v="96.44"/>
    <n v="0"/>
    <n v="385.76"/>
    <n v="126.85"/>
    <n v="39"/>
    <x v="1"/>
    <s v="UPI"/>
  </r>
  <r>
    <n v="100418"/>
    <x v="689"/>
    <s v="AD-1472-B"/>
    <x v="17"/>
    <x v="2"/>
    <x v="0"/>
    <x v="0"/>
    <n v="2"/>
    <n v="42.82"/>
    <n v="5"/>
    <n v="81.36"/>
    <n v="24.27"/>
    <n v="26"/>
    <x v="0"/>
    <s v="Cash"/>
  </r>
  <r>
    <n v="100391"/>
    <x v="478"/>
    <s v="AD-4086-B"/>
    <x v="13"/>
    <x v="0"/>
    <x v="4"/>
    <x v="1"/>
    <n v="3"/>
    <n v="117.99"/>
    <n v="0"/>
    <n v="353.97"/>
    <n v="89.49"/>
    <n v="41"/>
    <x v="0"/>
    <s v="NetBanking"/>
  </r>
  <r>
    <n v="100592"/>
    <x v="380"/>
    <s v="AD-3930-A"/>
    <x v="7"/>
    <x v="1"/>
    <x v="0"/>
    <x v="1"/>
    <n v="2"/>
    <n v="145.22"/>
    <n v="0"/>
    <n v="290.44"/>
    <n v="61.69"/>
    <n v="29"/>
    <x v="1"/>
    <s v="PayPal"/>
  </r>
  <r>
    <n v="101086"/>
    <x v="660"/>
    <s v="AD-2528-B"/>
    <x v="17"/>
    <x v="2"/>
    <x v="4"/>
    <x v="0"/>
    <n v="5"/>
    <n v="41.63"/>
    <n v="0"/>
    <n v="208.15"/>
    <n v="59.23"/>
    <n v="45"/>
    <x v="0"/>
    <s v="Debit Card"/>
  </r>
  <r>
    <n v="100647"/>
    <x v="647"/>
    <s v="AD-3376-B"/>
    <x v="5"/>
    <x v="0"/>
    <x v="0"/>
    <x v="2"/>
    <n v="1"/>
    <n v="70.05"/>
    <n v="5"/>
    <n v="66.55"/>
    <n v="25.41"/>
    <n v="45"/>
    <x v="1"/>
    <s v="Debit Card"/>
  </r>
  <r>
    <n v="100520"/>
    <x v="2"/>
    <s v="AD-8260-B"/>
    <x v="14"/>
    <x v="1"/>
    <x v="3"/>
    <x v="0"/>
    <n v="2"/>
    <n v="209.22"/>
    <n v="10"/>
    <n v="376.6"/>
    <n v="132.79"/>
    <n v="26"/>
    <x v="1"/>
    <s v="NetBanking"/>
  </r>
  <r>
    <n v="100064"/>
    <x v="691"/>
    <s v="AD-4249-A"/>
    <x v="17"/>
    <x v="2"/>
    <x v="1"/>
    <x v="1"/>
    <n v="1"/>
    <n v="38.49"/>
    <n v="10"/>
    <n v="34.64"/>
    <n v="11.99"/>
    <n v="39"/>
    <x v="0"/>
    <s v="Apple Pay"/>
  </r>
  <r>
    <n v="100014"/>
    <x v="692"/>
    <s v="AD-6038-B"/>
    <x v="10"/>
    <x v="2"/>
    <x v="0"/>
    <x v="1"/>
    <n v="3"/>
    <n v="50.38"/>
    <n v="0"/>
    <n v="151.13999999999999"/>
    <n v="53.45"/>
    <n v="30"/>
    <x v="1"/>
    <s v="Cash"/>
  </r>
  <r>
    <n v="101064"/>
    <x v="693"/>
    <s v="AD-7047-C"/>
    <x v="0"/>
    <x v="0"/>
    <x v="4"/>
    <x v="2"/>
    <n v="2"/>
    <n v="54.07"/>
    <n v="0"/>
    <n v="108.14"/>
    <n v="39.520000000000003"/>
    <n v="20"/>
    <x v="1"/>
    <s v="Google Pay"/>
  </r>
  <r>
    <n v="100492"/>
    <x v="694"/>
    <s v="AD-4919-A"/>
    <x v="19"/>
    <x v="1"/>
    <x v="0"/>
    <x v="1"/>
    <n v="3"/>
    <n v="122.51"/>
    <n v="0"/>
    <n v="367.53"/>
    <n v="119.98"/>
    <n v="31"/>
    <x v="0"/>
    <s v="Cash"/>
  </r>
  <r>
    <n v="100379"/>
    <x v="351"/>
    <s v="AD-6094-C"/>
    <x v="9"/>
    <x v="2"/>
    <x v="2"/>
    <x v="0"/>
    <n v="2"/>
    <n v="23.11"/>
    <n v="0"/>
    <n v="46.22"/>
    <n v="15.51"/>
    <n v="30"/>
    <x v="0"/>
    <s v="NetBanking"/>
  </r>
  <r>
    <n v="100187"/>
    <x v="19"/>
    <s v="AD-6922-B"/>
    <x v="8"/>
    <x v="2"/>
    <x v="4"/>
    <x v="0"/>
    <n v="3"/>
    <n v="14.94"/>
    <n v="5"/>
    <n v="42.58"/>
    <n v="21.21"/>
    <n v="29"/>
    <x v="0"/>
    <s v="PayPal"/>
  </r>
  <r>
    <n v="100763"/>
    <x v="398"/>
    <s v="AD-3883-A"/>
    <x v="15"/>
    <x v="1"/>
    <x v="4"/>
    <x v="0"/>
    <n v="1"/>
    <n v="150.6"/>
    <n v="20"/>
    <n v="120.48"/>
    <n v="44.04"/>
    <n v="28"/>
    <x v="0"/>
    <s v="NetBanking"/>
  </r>
  <r>
    <n v="100216"/>
    <x v="162"/>
    <s v="AD-5450-B"/>
    <x v="3"/>
    <x v="2"/>
    <x v="0"/>
    <x v="0"/>
    <n v="4"/>
    <n v="18.86"/>
    <n v="0"/>
    <n v="75.44"/>
    <n v="28.6"/>
    <n v="28"/>
    <x v="0"/>
    <s v="NetBanking"/>
  </r>
  <r>
    <n v="100791"/>
    <x v="695"/>
    <s v="AD-6169-D"/>
    <x v="1"/>
    <x v="0"/>
    <x v="0"/>
    <x v="0"/>
    <n v="4"/>
    <n v="26.69"/>
    <n v="0"/>
    <n v="106.76"/>
    <n v="21.1"/>
    <n v="34"/>
    <x v="1"/>
    <s v="PayPal"/>
  </r>
  <r>
    <n v="101076"/>
    <x v="696"/>
    <s v="AD-1178-D"/>
    <x v="18"/>
    <x v="1"/>
    <x v="2"/>
    <x v="0"/>
    <n v="4"/>
    <n v="85.14"/>
    <n v="20"/>
    <n v="272.45"/>
    <n v="61.77"/>
    <n v="26"/>
    <x v="0"/>
    <s v="PayPal"/>
  </r>
  <r>
    <n v="100878"/>
    <x v="98"/>
    <s v="AD-4678-A"/>
    <x v="4"/>
    <x v="2"/>
    <x v="0"/>
    <x v="1"/>
    <n v="2"/>
    <n v="58.59"/>
    <n v="40"/>
    <n v="70.31"/>
    <n v="24.54"/>
    <n v="26"/>
    <x v="1"/>
    <s v="Credit Card"/>
  </r>
  <r>
    <n v="100337"/>
    <x v="214"/>
    <s v="AD-2731-B"/>
    <x v="5"/>
    <x v="0"/>
    <x v="4"/>
    <x v="1"/>
    <n v="4"/>
    <n v="66.12"/>
    <n v="10"/>
    <n v="238.03"/>
    <n v="45.16"/>
    <n v="36"/>
    <x v="0"/>
    <s v="PayPal"/>
  </r>
  <r>
    <n v="100719"/>
    <x v="687"/>
    <s v="AD-3034-C"/>
    <x v="6"/>
    <x v="1"/>
    <x v="4"/>
    <x v="0"/>
    <n v="3"/>
    <n v="159.36000000000001"/>
    <n v="0"/>
    <n v="478.08"/>
    <n v="135.58000000000001"/>
    <n v="36"/>
    <x v="0"/>
    <s v="Google Pay"/>
  </r>
  <r>
    <n v="100295"/>
    <x v="114"/>
    <s v="AD-9808-C"/>
    <x v="2"/>
    <x v="1"/>
    <x v="0"/>
    <x v="0"/>
    <n v="2"/>
    <n v="106.92"/>
    <n v="0"/>
    <n v="213.84"/>
    <n v="58.53"/>
    <n v="29"/>
    <x v="1"/>
    <s v="UPI"/>
  </r>
  <r>
    <n v="101016"/>
    <x v="576"/>
    <s v="AD-3705-A"/>
    <x v="13"/>
    <x v="0"/>
    <x v="0"/>
    <x v="0"/>
    <n v="5"/>
    <n v="128.88999999999999"/>
    <n v="0"/>
    <n v="644.45000000000005"/>
    <n v="176.92"/>
    <n v="18"/>
    <x v="1"/>
    <s v="Debit Card"/>
  </r>
  <r>
    <n v="100455"/>
    <x v="393"/>
    <s v="AD-3360-C"/>
    <x v="6"/>
    <x v="1"/>
    <x v="1"/>
    <x v="0"/>
    <n v="2"/>
    <n v="196.84"/>
    <n v="5"/>
    <n v="374"/>
    <n v="83.57"/>
    <n v="34"/>
    <x v="1"/>
    <s v="NetBanking"/>
  </r>
  <r>
    <n v="100815"/>
    <x v="697"/>
    <s v="AD-6469-A"/>
    <x v="3"/>
    <x v="2"/>
    <x v="4"/>
    <x v="1"/>
    <n v="4"/>
    <n v="17.84"/>
    <n v="0"/>
    <n v="71.36"/>
    <n v="26.79"/>
    <n v="34"/>
    <x v="0"/>
    <s v="Credit Card"/>
  </r>
  <r>
    <n v="100269"/>
    <x v="269"/>
    <s v="AD-1202-C"/>
    <x v="6"/>
    <x v="1"/>
    <x v="0"/>
    <x v="1"/>
    <n v="4"/>
    <n v="205.91"/>
    <n v="10"/>
    <n v="741.28"/>
    <n v="243.02"/>
    <n v="28"/>
    <x v="0"/>
    <s v="Apple Pay"/>
  </r>
  <r>
    <n v="100995"/>
    <x v="627"/>
    <s v="AD-8596-D"/>
    <x v="19"/>
    <x v="1"/>
    <x v="0"/>
    <x v="0"/>
    <n v="3"/>
    <n v="127.71"/>
    <n v="0"/>
    <n v="383.13"/>
    <n v="127.48"/>
    <n v="30"/>
    <x v="0"/>
    <s v="Debit Card"/>
  </r>
  <r>
    <n v="100201"/>
    <x v="698"/>
    <s v="AD-2761-D"/>
    <x v="9"/>
    <x v="2"/>
    <x v="2"/>
    <x v="1"/>
    <n v="3"/>
    <n v="21.35"/>
    <n v="0"/>
    <n v="64.05"/>
    <n v="15.96"/>
    <n v="32"/>
    <x v="1"/>
    <s v="Credit Card"/>
  </r>
  <r>
    <n v="100161"/>
    <x v="338"/>
    <s v="AD-8564-C"/>
    <x v="9"/>
    <x v="2"/>
    <x v="4"/>
    <x v="1"/>
    <n v="3"/>
    <n v="19.93"/>
    <n v="0"/>
    <n v="59.79"/>
    <n v="17.420000000000002"/>
    <n v="35"/>
    <x v="0"/>
    <s v="Google Pay"/>
  </r>
  <r>
    <n v="100729"/>
    <x v="65"/>
    <s v="AD-2287-D"/>
    <x v="14"/>
    <x v="1"/>
    <x v="4"/>
    <x v="0"/>
    <n v="2"/>
    <n v="226.68"/>
    <n v="0"/>
    <n v="453.36"/>
    <n v="173.84"/>
    <n v="22"/>
    <x v="1"/>
    <s v="PayPal"/>
  </r>
  <r>
    <n v="100401"/>
    <x v="91"/>
    <s v="AD-7280-A"/>
    <x v="2"/>
    <x v="1"/>
    <x v="1"/>
    <x v="0"/>
    <n v="2"/>
    <n v="96.46"/>
    <n v="10"/>
    <n v="173.63"/>
    <n v="60.6"/>
    <n v="24"/>
    <x v="1"/>
    <s v="Google Pay"/>
  </r>
  <r>
    <n v="100702"/>
    <x v="699"/>
    <s v="AD-4806-C"/>
    <x v="11"/>
    <x v="0"/>
    <x v="0"/>
    <x v="0"/>
    <n v="1"/>
    <n v="27.66"/>
    <n v="5"/>
    <n v="26.28"/>
    <n v="9.41"/>
    <n v="18"/>
    <x v="1"/>
    <s v="Credit Card"/>
  </r>
  <r>
    <n v="101129"/>
    <x v="659"/>
    <s v="AD-2685-C"/>
    <x v="16"/>
    <x v="1"/>
    <x v="4"/>
    <x v="2"/>
    <n v="3"/>
    <n v="33.840000000000003"/>
    <n v="40"/>
    <n v="60.91"/>
    <n v="19.8"/>
    <n v="22"/>
    <x v="0"/>
    <s v="Apple Pay"/>
  </r>
  <r>
    <n v="100565"/>
    <x v="277"/>
    <s v="AD-6729-D"/>
    <x v="11"/>
    <x v="0"/>
    <x v="1"/>
    <x v="1"/>
    <n v="3"/>
    <n v="31.11"/>
    <n v="20"/>
    <n v="74.66"/>
    <n v="21.76"/>
    <n v="33"/>
    <x v="0"/>
    <s v="PayPal"/>
  </r>
  <r>
    <n v="101021"/>
    <x v="686"/>
    <s v="AD-5752-C"/>
    <x v="12"/>
    <x v="0"/>
    <x v="3"/>
    <x v="0"/>
    <n v="2"/>
    <n v="124.24"/>
    <n v="20"/>
    <n v="198.78"/>
    <n v="75.989999999999995"/>
    <n v="21"/>
    <x v="0"/>
    <s v="Debit Card"/>
  </r>
  <r>
    <n v="101025"/>
    <x v="700"/>
    <s v="AD-3549-C"/>
    <x v="2"/>
    <x v="1"/>
    <x v="2"/>
    <x v="0"/>
    <n v="2"/>
    <n v="97.9"/>
    <n v="0"/>
    <n v="195.8"/>
    <n v="57.08"/>
    <n v="43"/>
    <x v="0"/>
    <s v="Credit Card"/>
  </r>
  <r>
    <n v="101104"/>
    <x v="159"/>
    <s v="AD-5305-A"/>
    <x v="14"/>
    <x v="1"/>
    <x v="3"/>
    <x v="1"/>
    <n v="3"/>
    <n v="217.49"/>
    <n v="0"/>
    <n v="652.47"/>
    <n v="140.63999999999999"/>
    <n v="18"/>
    <x v="1"/>
    <s v="Apple Pay"/>
  </r>
  <r>
    <n v="100205"/>
    <x v="303"/>
    <s v="AD-3440-B"/>
    <x v="15"/>
    <x v="1"/>
    <x v="4"/>
    <x v="0"/>
    <n v="1"/>
    <n v="145.81"/>
    <n v="10"/>
    <n v="131.22999999999999"/>
    <n v="44.93"/>
    <n v="39"/>
    <x v="1"/>
    <s v="Google Pay"/>
  </r>
  <r>
    <n v="100034"/>
    <x v="412"/>
    <s v="AD-5533-A"/>
    <x v="1"/>
    <x v="0"/>
    <x v="4"/>
    <x v="2"/>
    <n v="1"/>
    <n v="24.55"/>
    <n v="0"/>
    <n v="24.55"/>
    <n v="7.93"/>
    <n v="29"/>
    <x v="1"/>
    <s v="Apple Pay"/>
  </r>
  <r>
    <n v="100775"/>
    <x v="321"/>
    <s v="AD-8426-A"/>
    <x v="7"/>
    <x v="1"/>
    <x v="1"/>
    <x v="0"/>
    <n v="3"/>
    <n v="153.41"/>
    <n v="0"/>
    <n v="460.23"/>
    <n v="136.68"/>
    <n v="39"/>
    <x v="0"/>
    <s v="Cash"/>
  </r>
  <r>
    <n v="100508"/>
    <x v="482"/>
    <s v="AD-2636-C"/>
    <x v="12"/>
    <x v="0"/>
    <x v="4"/>
    <x v="0"/>
    <n v="7"/>
    <n v="123.53"/>
    <n v="40"/>
    <n v="518.83000000000004"/>
    <n v="149.66999999999999"/>
    <n v="45"/>
    <x v="0"/>
    <s v="UPI"/>
  </r>
  <r>
    <n v="101183"/>
    <x v="340"/>
    <s v="AD-8761-A"/>
    <x v="6"/>
    <x v="1"/>
    <x v="2"/>
    <x v="1"/>
    <n v="1"/>
    <n v="196.24"/>
    <n v="20"/>
    <n v="156.99"/>
    <n v="48.09"/>
    <n v="36"/>
    <x v="1"/>
    <s v="Debit Card"/>
  </r>
  <r>
    <n v="100091"/>
    <x v="176"/>
    <s v="AD-8178-D"/>
    <x v="9"/>
    <x v="2"/>
    <x v="0"/>
    <x v="0"/>
    <n v="3"/>
    <n v="17.95"/>
    <n v="0"/>
    <n v="53.85"/>
    <n v="20.98"/>
    <n v="22"/>
    <x v="1"/>
    <s v="NetBanking"/>
  </r>
  <r>
    <n v="100897"/>
    <x v="701"/>
    <s v="AD-3884-C"/>
    <x v="1"/>
    <x v="0"/>
    <x v="1"/>
    <x v="1"/>
    <n v="3"/>
    <n v="21.1"/>
    <n v="0"/>
    <n v="63.3"/>
    <n v="17.350000000000001"/>
    <n v="33"/>
    <x v="1"/>
    <s v="Credit Card"/>
  </r>
  <r>
    <n v="100564"/>
    <x v="81"/>
    <s v="AD-7776-D"/>
    <x v="2"/>
    <x v="1"/>
    <x v="1"/>
    <x v="1"/>
    <n v="3"/>
    <n v="83.45"/>
    <n v="40"/>
    <n v="150.21"/>
    <n v="23.79"/>
    <n v="33"/>
    <x v="0"/>
    <s v="Debit Card"/>
  </r>
  <r>
    <n v="100776"/>
    <x v="702"/>
    <s v="AD-7564-B"/>
    <x v="15"/>
    <x v="1"/>
    <x v="4"/>
    <x v="0"/>
    <n v="3"/>
    <n v="151.03"/>
    <n v="0"/>
    <n v="453.09"/>
    <n v="119.01"/>
    <n v="31"/>
    <x v="0"/>
    <s v="Credit Card"/>
  </r>
  <r>
    <n v="100241"/>
    <x v="541"/>
    <s v="AD-7775-C"/>
    <x v="19"/>
    <x v="1"/>
    <x v="0"/>
    <x v="0"/>
    <n v="5"/>
    <n v="126.81"/>
    <n v="0"/>
    <n v="634.04999999999995"/>
    <n v="155.59"/>
    <n v="27"/>
    <x v="0"/>
    <s v="UPI"/>
  </r>
  <r>
    <n v="100013"/>
    <x v="675"/>
    <s v="AD-7126-B"/>
    <x v="18"/>
    <x v="1"/>
    <x v="4"/>
    <x v="1"/>
    <n v="5"/>
    <n v="76.87"/>
    <n v="0"/>
    <n v="384.35"/>
    <n v="134"/>
    <n v="36"/>
    <x v="0"/>
    <s v="PayPal"/>
  </r>
  <r>
    <n v="100315"/>
    <x v="703"/>
    <s v="AD-1439-C"/>
    <x v="14"/>
    <x v="1"/>
    <x v="0"/>
    <x v="0"/>
    <n v="5"/>
    <n v="230.5"/>
    <n v="20"/>
    <n v="922"/>
    <n v="337.32"/>
    <n v="29"/>
    <x v="0"/>
    <s v="NetBanking"/>
  </r>
  <r>
    <n v="100600"/>
    <x v="704"/>
    <s v="AD-4425-A"/>
    <x v="9"/>
    <x v="2"/>
    <x v="0"/>
    <x v="0"/>
    <n v="2"/>
    <n v="20.64"/>
    <n v="10"/>
    <n v="37.15"/>
    <n v="14.42"/>
    <n v="37"/>
    <x v="1"/>
    <s v="UPI"/>
  </r>
  <r>
    <n v="100387"/>
    <x v="496"/>
    <s v="AD-8767-B"/>
    <x v="16"/>
    <x v="1"/>
    <x v="1"/>
    <x v="0"/>
    <n v="5"/>
    <n v="37.450000000000003"/>
    <n v="40"/>
    <n v="112.35"/>
    <n v="33.340000000000003"/>
    <n v="45"/>
    <x v="0"/>
    <s v="Credit Card"/>
  </r>
  <r>
    <n v="100166"/>
    <x v="705"/>
    <s v="AD-1627-C"/>
    <x v="13"/>
    <x v="0"/>
    <x v="2"/>
    <x v="1"/>
    <n v="4"/>
    <n v="119.84"/>
    <n v="0"/>
    <n v="479.36"/>
    <n v="168.4"/>
    <n v="35"/>
    <x v="0"/>
    <s v="PayPal"/>
  </r>
  <r>
    <n v="100840"/>
    <x v="706"/>
    <s v="AD-9737-B"/>
    <x v="18"/>
    <x v="1"/>
    <x v="0"/>
    <x v="0"/>
    <n v="2"/>
    <n v="79.25"/>
    <n v="5"/>
    <n v="150.57"/>
    <n v="49.34"/>
    <n v="33"/>
    <x v="1"/>
    <s v="UPI"/>
  </r>
  <r>
    <n v="100020"/>
    <x v="117"/>
    <s v="AD-2588-D"/>
    <x v="17"/>
    <x v="2"/>
    <x v="4"/>
    <x v="1"/>
    <n v="5"/>
    <n v="40.69"/>
    <n v="0"/>
    <n v="203.45"/>
    <n v="38.340000000000003"/>
    <n v="16"/>
    <x v="1"/>
    <s v="Debit Card"/>
  </r>
  <r>
    <n v="100646"/>
    <x v="159"/>
    <s v="AD-3873-C"/>
    <x v="18"/>
    <x v="1"/>
    <x v="2"/>
    <x v="1"/>
    <n v="4"/>
    <n v="86.95"/>
    <n v="0"/>
    <n v="347.8"/>
    <n v="60.89"/>
    <n v="24"/>
    <x v="0"/>
    <s v="Cash"/>
  </r>
  <r>
    <n v="101154"/>
    <x v="579"/>
    <s v="AD-1817-B"/>
    <x v="12"/>
    <x v="0"/>
    <x v="4"/>
    <x v="1"/>
    <n v="3"/>
    <n v="143.54"/>
    <n v="20"/>
    <n v="344.5"/>
    <n v="84.76"/>
    <n v="28"/>
    <x v="1"/>
    <s v="Debit Card"/>
  </r>
  <r>
    <n v="100831"/>
    <x v="680"/>
    <s v="AD-1487-D"/>
    <x v="5"/>
    <x v="0"/>
    <x v="1"/>
    <x v="2"/>
    <n v="2"/>
    <n v="72.959999999999994"/>
    <n v="10"/>
    <n v="131.33000000000001"/>
    <n v="39.22"/>
    <n v="17"/>
    <x v="0"/>
    <s v="Cash"/>
  </r>
  <r>
    <n v="100562"/>
    <x v="707"/>
    <s v="AD-9221-D"/>
    <x v="2"/>
    <x v="1"/>
    <x v="0"/>
    <x v="1"/>
    <n v="3"/>
    <n v="99.23"/>
    <n v="5"/>
    <n v="282.81"/>
    <n v="65.959999999999994"/>
    <n v="33"/>
    <x v="1"/>
    <s v="Apple Pay"/>
  </r>
  <r>
    <n v="101170"/>
    <x v="416"/>
    <s v="AD-1871-D"/>
    <x v="0"/>
    <x v="0"/>
    <x v="4"/>
    <x v="1"/>
    <n v="2"/>
    <n v="62.77"/>
    <n v="10"/>
    <n v="112.99"/>
    <n v="24.42"/>
    <n v="35"/>
    <x v="1"/>
    <s v="Debit Card"/>
  </r>
  <r>
    <n v="100686"/>
    <x v="640"/>
    <s v="AD-5835-B"/>
    <x v="14"/>
    <x v="1"/>
    <x v="1"/>
    <x v="0"/>
    <n v="4"/>
    <n v="230.61"/>
    <n v="10"/>
    <n v="830.2"/>
    <n v="213.75"/>
    <n v="34"/>
    <x v="0"/>
    <s v="UPI"/>
  </r>
  <r>
    <n v="100957"/>
    <x v="289"/>
    <s v="AD-8827-A"/>
    <x v="11"/>
    <x v="0"/>
    <x v="0"/>
    <x v="3"/>
    <n v="4"/>
    <n v="30.19"/>
    <n v="0"/>
    <n v="120.76"/>
    <n v="33.520000000000003"/>
    <n v="18"/>
    <x v="0"/>
    <s v="UPI"/>
  </r>
  <r>
    <n v="100189"/>
    <x v="708"/>
    <s v="AD-7708-A"/>
    <x v="2"/>
    <x v="1"/>
    <x v="1"/>
    <x v="1"/>
    <n v="1"/>
    <n v="79.48"/>
    <n v="10"/>
    <n v="71.53"/>
    <n v="20.5"/>
    <n v="29"/>
    <x v="1"/>
    <s v="Apple Pay"/>
  </r>
  <r>
    <n v="100975"/>
    <x v="24"/>
    <s v="AD-3094-D"/>
    <x v="16"/>
    <x v="1"/>
    <x v="2"/>
    <x v="2"/>
    <n v="4"/>
    <n v="37.32"/>
    <n v="0"/>
    <n v="149.28"/>
    <n v="45.58"/>
    <n v="21"/>
    <x v="0"/>
    <s v="Credit Card"/>
  </r>
  <r>
    <n v="100699"/>
    <x v="163"/>
    <s v="AD-4085-D"/>
    <x v="8"/>
    <x v="2"/>
    <x v="1"/>
    <x v="0"/>
    <n v="4"/>
    <n v="15.21"/>
    <n v="0"/>
    <n v="60.84"/>
    <n v="25.41"/>
    <n v="26"/>
    <x v="0"/>
    <s v="Debit Card"/>
  </r>
  <r>
    <n v="100510"/>
    <x v="498"/>
    <s v="AD-8972-C"/>
    <x v="4"/>
    <x v="2"/>
    <x v="3"/>
    <x v="2"/>
    <n v="2"/>
    <n v="64.86"/>
    <n v="5"/>
    <n v="123.23"/>
    <n v="52.24"/>
    <n v="39"/>
    <x v="1"/>
    <s v="Cash"/>
  </r>
  <r>
    <n v="101082"/>
    <x v="709"/>
    <s v="AD-4937-C"/>
    <x v="16"/>
    <x v="1"/>
    <x v="0"/>
    <x v="0"/>
    <n v="2"/>
    <n v="36.950000000000003"/>
    <n v="0"/>
    <n v="73.900000000000006"/>
    <n v="19.079999999999998"/>
    <n v="33"/>
    <x v="0"/>
    <s v="Credit Card"/>
  </r>
  <r>
    <n v="100474"/>
    <x v="39"/>
    <s v="AD-7732-A"/>
    <x v="13"/>
    <x v="0"/>
    <x v="1"/>
    <x v="1"/>
    <n v="1"/>
    <n v="110.04"/>
    <n v="0"/>
    <n v="110.04"/>
    <n v="35.72"/>
    <n v="37"/>
    <x v="1"/>
    <s v="PayPal"/>
  </r>
  <r>
    <n v="100856"/>
    <x v="128"/>
    <s v="AD-1394-C"/>
    <x v="17"/>
    <x v="2"/>
    <x v="2"/>
    <x v="0"/>
    <n v="6"/>
    <n v="37.799999999999997"/>
    <n v="10"/>
    <n v="204.12"/>
    <n v="55.31"/>
    <n v="25"/>
    <x v="1"/>
    <s v="Apple Pay"/>
  </r>
  <r>
    <n v="100747"/>
    <x v="710"/>
    <s v="AD-3897-C"/>
    <x v="18"/>
    <x v="1"/>
    <x v="1"/>
    <x v="0"/>
    <n v="2"/>
    <n v="82.82"/>
    <n v="5"/>
    <n v="157.36000000000001"/>
    <n v="60.14"/>
    <n v="32"/>
    <x v="1"/>
    <s v="Credit Card"/>
  </r>
  <r>
    <n v="100252"/>
    <x v="711"/>
    <s v="AD-5216-D"/>
    <x v="13"/>
    <x v="0"/>
    <x v="0"/>
    <x v="0"/>
    <n v="2"/>
    <n v="113.39"/>
    <n v="20"/>
    <n v="181.42"/>
    <n v="50.12"/>
    <n v="25"/>
    <x v="0"/>
    <s v="Cash"/>
  </r>
  <r>
    <n v="100021"/>
    <x v="149"/>
    <s v="AD-1993-D"/>
    <x v="4"/>
    <x v="2"/>
    <x v="2"/>
    <x v="0"/>
    <n v="2"/>
    <n v="59.87"/>
    <n v="5"/>
    <n v="113.75"/>
    <n v="38.020000000000003"/>
    <n v="49"/>
    <x v="0"/>
    <s v="Debit Card"/>
  </r>
  <r>
    <n v="100459"/>
    <x v="28"/>
    <s v="AD-4234-D"/>
    <x v="8"/>
    <x v="2"/>
    <x v="1"/>
    <x v="0"/>
    <n v="3"/>
    <n v="15.32"/>
    <n v="5"/>
    <n v="43.66"/>
    <n v="12.27"/>
    <n v="23"/>
    <x v="1"/>
    <s v="Debit Card"/>
  </r>
  <r>
    <n v="100276"/>
    <x v="640"/>
    <s v="AD-1440-D"/>
    <x v="12"/>
    <x v="0"/>
    <x v="3"/>
    <x v="0"/>
    <n v="2"/>
    <n v="143.68"/>
    <n v="5"/>
    <n v="272.99"/>
    <n v="91.18"/>
    <n v="27"/>
    <x v="2"/>
    <s v="PayPal"/>
  </r>
  <r>
    <n v="100955"/>
    <x v="624"/>
    <s v="AD-3039-D"/>
    <x v="11"/>
    <x v="0"/>
    <x v="1"/>
    <x v="3"/>
    <n v="3"/>
    <n v="30.31"/>
    <n v="5"/>
    <n v="86.38"/>
    <n v="20.21"/>
    <n v="30"/>
    <x v="1"/>
    <s v="Credit Card"/>
  </r>
  <r>
    <n v="100385"/>
    <x v="453"/>
    <s v="AD-3679-C"/>
    <x v="19"/>
    <x v="1"/>
    <x v="3"/>
    <x v="1"/>
    <n v="3"/>
    <n v="130.16"/>
    <n v="5"/>
    <n v="370.96"/>
    <n v="126.59"/>
    <n v="23"/>
    <x v="0"/>
    <s v="Cash"/>
  </r>
  <r>
    <n v="100805"/>
    <x v="712"/>
    <s v="AD-5921-B"/>
    <x v="3"/>
    <x v="2"/>
    <x v="2"/>
    <x v="1"/>
    <n v="3"/>
    <n v="16.39"/>
    <n v="5"/>
    <n v="46.71"/>
    <n v="12.19"/>
    <n v="23"/>
    <x v="1"/>
    <s v="PayPal"/>
  </r>
  <r>
    <n v="100343"/>
    <x v="510"/>
    <s v="AD-2506-C"/>
    <x v="2"/>
    <x v="1"/>
    <x v="4"/>
    <x v="2"/>
    <n v="2"/>
    <n v="96.12"/>
    <n v="10"/>
    <n v="173.02"/>
    <n v="65.849999999999994"/>
    <n v="37"/>
    <x v="1"/>
    <s v="PayPal"/>
  </r>
  <r>
    <n v="100769"/>
    <x v="713"/>
    <s v="AD-6947-D"/>
    <x v="18"/>
    <x v="1"/>
    <x v="1"/>
    <x v="1"/>
    <n v="3"/>
    <n v="79.709999999999994"/>
    <n v="5"/>
    <n v="227.17"/>
    <n v="58.6"/>
    <n v="35"/>
    <x v="0"/>
    <s v="PayPal"/>
  </r>
  <r>
    <n v="100130"/>
    <x v="714"/>
    <s v="AD-2527-D"/>
    <x v="1"/>
    <x v="0"/>
    <x v="4"/>
    <x v="3"/>
    <n v="2"/>
    <n v="25.2"/>
    <n v="5"/>
    <n v="47.88"/>
    <n v="13.03"/>
    <n v="27"/>
    <x v="1"/>
    <s v="Debit Card"/>
  </r>
  <r>
    <n v="100871"/>
    <x v="574"/>
    <s v="AD-3044-D"/>
    <x v="19"/>
    <x v="1"/>
    <x v="4"/>
    <x v="1"/>
    <n v="5"/>
    <n v="127.61"/>
    <n v="5"/>
    <n v="606.15"/>
    <n v="149.27000000000001"/>
    <n v="30"/>
    <x v="0"/>
    <s v="Credit Card"/>
  </r>
  <r>
    <n v="101123"/>
    <x v="715"/>
    <s v="AD-4445-D"/>
    <x v="16"/>
    <x v="1"/>
    <x v="1"/>
    <x v="0"/>
    <n v="3"/>
    <n v="33.9"/>
    <n v="5"/>
    <n v="96.61"/>
    <n v="33.520000000000003"/>
    <n v="20"/>
    <x v="1"/>
    <s v="Debit Card"/>
  </r>
  <r>
    <n v="100087"/>
    <x v="461"/>
    <s v="AD-9056-A"/>
    <x v="7"/>
    <x v="1"/>
    <x v="0"/>
    <x v="2"/>
    <n v="2"/>
    <n v="149.85"/>
    <n v="5"/>
    <n v="284.70999999999998"/>
    <n v="83.89"/>
    <n v="21"/>
    <x v="1"/>
    <s v="Apple Pay"/>
  </r>
  <r>
    <n v="100330"/>
    <x v="677"/>
    <s v="AD-4974-D"/>
    <x v="2"/>
    <x v="1"/>
    <x v="4"/>
    <x v="0"/>
    <n v="4"/>
    <n v="95.63"/>
    <n v="0"/>
    <n v="382.52"/>
    <n v="105.82"/>
    <n v="32"/>
    <x v="0"/>
    <s v="NetBanking"/>
  </r>
  <r>
    <n v="100466"/>
    <x v="355"/>
    <s v="AD-3193-D"/>
    <x v="8"/>
    <x v="2"/>
    <x v="0"/>
    <x v="0"/>
    <n v="3"/>
    <n v="14.54"/>
    <n v="5"/>
    <n v="41.44"/>
    <n v="13.54"/>
    <n v="36"/>
    <x v="1"/>
    <s v="NetBanking"/>
  </r>
  <r>
    <n v="100121"/>
    <x v="716"/>
    <s v="AD-4538-B"/>
    <x v="13"/>
    <x v="0"/>
    <x v="4"/>
    <x v="1"/>
    <n v="4"/>
    <n v="104.11"/>
    <n v="20"/>
    <n v="333.15"/>
    <n v="86.57"/>
    <n v="43"/>
    <x v="1"/>
    <s v="UPI"/>
  </r>
  <r>
    <n v="101044"/>
    <x v="467"/>
    <s v="AD-7512-D"/>
    <x v="14"/>
    <x v="1"/>
    <x v="3"/>
    <x v="0"/>
    <n v="2"/>
    <n v="220.12"/>
    <n v="5"/>
    <n v="418.23"/>
    <n v="108.68"/>
    <n v="36"/>
    <x v="0"/>
    <s v="UPI"/>
  </r>
  <r>
    <n v="101095"/>
    <x v="717"/>
    <s v="AD-6716-D"/>
    <x v="17"/>
    <x v="2"/>
    <x v="4"/>
    <x v="0"/>
    <n v="2"/>
    <n v="45.97"/>
    <n v="5"/>
    <n v="87.34"/>
    <n v="28.46"/>
    <n v="40"/>
    <x v="1"/>
    <s v="Debit Card"/>
  </r>
  <r>
    <n v="101130"/>
    <x v="718"/>
    <s v="AD-6222-A"/>
    <x v="16"/>
    <x v="1"/>
    <x v="1"/>
    <x v="2"/>
    <n v="3"/>
    <n v="31"/>
    <n v="0"/>
    <n v="93"/>
    <n v="28.22"/>
    <n v="34"/>
    <x v="1"/>
    <s v="NetBanking"/>
  </r>
  <r>
    <n v="100860"/>
    <x v="719"/>
    <s v="AD-5412-A"/>
    <x v="19"/>
    <x v="1"/>
    <x v="1"/>
    <x v="1"/>
    <n v="4"/>
    <n v="142.77000000000001"/>
    <n v="0"/>
    <n v="571.08000000000004"/>
    <n v="170.99"/>
    <n v="40"/>
    <x v="1"/>
    <s v="Debit Card"/>
  </r>
  <r>
    <n v="101126"/>
    <x v="720"/>
    <s v="AD-4543-C"/>
    <x v="18"/>
    <x v="1"/>
    <x v="4"/>
    <x v="0"/>
    <n v="6"/>
    <n v="72.03"/>
    <n v="20"/>
    <n v="345.74"/>
    <n v="94.24"/>
    <n v="31"/>
    <x v="1"/>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32683C-E1D6-45AF-B22A-1F4FB588A951}" name="Total Sales Per Tim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4:F9" firstHeaderRow="1" firstDataRow="2" firstDataCol="1"/>
  <pivotFields count="18">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items count="6">
        <item x="0"/>
        <item x="4"/>
        <item x="2"/>
        <item x="3"/>
        <item x="1"/>
        <item t="default"/>
      </items>
    </pivotField>
    <pivotField axis="axisCol" showAll="0">
      <items count="5">
        <item x="0"/>
        <item x="2"/>
        <item x="1"/>
        <item x="3"/>
        <item t="default"/>
      </items>
    </pivotField>
    <pivotField dataField="1" showAll="0"/>
    <pivotField showAll="0"/>
    <pivotField showAll="0"/>
    <pivotField showAll="0"/>
    <pivotField showAll="0"/>
    <pivotField showAll="0"/>
    <pivotField showAll="0">
      <items count="4">
        <item x="0"/>
        <item x="1"/>
        <item x="2"/>
        <item t="default"/>
      </items>
    </pivotField>
    <pivotField showAll="0"/>
    <pivotField axis="axisRow" showAll="0">
      <items count="7">
        <item sd="0" x="1"/>
        <item sd="0" x="2"/>
        <item sd="0" x="3"/>
        <item sd="0" x="4"/>
        <item x="0"/>
        <item x="5"/>
        <item t="default" sd="0"/>
      </items>
    </pivotField>
    <pivotField axis="axisRow" showAll="0">
      <items count="6">
        <item sd="0" x="1"/>
        <item sd="0" x="2"/>
        <item sd="0" x="3"/>
        <item x="0"/>
        <item x="4"/>
        <item t="default" sd="0"/>
      </items>
    </pivotField>
    <pivotField dragToRow="0" dragToCol="0" dragToPage="0" showAll="0" defaultSubtotal="0"/>
  </pivotFields>
  <rowFields count="3">
    <field x="16"/>
    <field x="15"/>
    <field x="1"/>
  </rowFields>
  <rowItems count="4">
    <i>
      <x/>
    </i>
    <i>
      <x v="1"/>
    </i>
    <i>
      <x v="2"/>
    </i>
    <i t="grand">
      <x/>
    </i>
  </rowItems>
  <colFields count="1">
    <field x="6"/>
  </colFields>
  <colItems count="5">
    <i>
      <x/>
    </i>
    <i>
      <x v="1"/>
    </i>
    <i>
      <x v="2"/>
    </i>
    <i>
      <x v="3"/>
    </i>
    <i t="grand">
      <x/>
    </i>
  </colItems>
  <dataFields count="1">
    <dataField name="Sum of Units_Sold" fld="7" baseField="0" baseItem="0"/>
  </dataFields>
  <formats count="19">
    <format dxfId="27">
      <pivotArea type="all" dataOnly="0" outline="0" fieldPosition="0"/>
    </format>
    <format dxfId="26">
      <pivotArea outline="0" collapsedLevelsAreSubtotals="1" fieldPosition="0"/>
    </format>
    <format dxfId="25">
      <pivotArea type="origin" dataOnly="0" labelOnly="1" outline="0" fieldPosition="0"/>
    </format>
    <format dxfId="24">
      <pivotArea field="6" type="button" dataOnly="0" labelOnly="1" outline="0" axis="axisCol" fieldPosition="0"/>
    </format>
    <format dxfId="23">
      <pivotArea type="topRight" dataOnly="0" labelOnly="1" outline="0" fieldPosition="0"/>
    </format>
    <format dxfId="22">
      <pivotArea field="16" type="button" dataOnly="0" labelOnly="1" outline="0" axis="axisRow" fieldPosition="0"/>
    </format>
    <format dxfId="21">
      <pivotArea dataOnly="0" labelOnly="1" fieldPosition="0">
        <references count="1">
          <reference field="16" count="0"/>
        </references>
      </pivotArea>
    </format>
    <format dxfId="20">
      <pivotArea dataOnly="0" labelOnly="1" grandRow="1" outline="0" fieldPosition="0"/>
    </format>
    <format dxfId="19">
      <pivotArea dataOnly="0" labelOnly="1" grandCol="1" outline="0" fieldPosition="0"/>
    </format>
    <format dxfId="18">
      <pivotArea type="all" dataOnly="0" outline="0" fieldPosition="0"/>
    </format>
    <format dxfId="17">
      <pivotArea outline="0" collapsedLevelsAreSubtotals="1" fieldPosition="0"/>
    </format>
    <format dxfId="16">
      <pivotArea type="origin" dataOnly="0" labelOnly="1" outline="0" fieldPosition="0"/>
    </format>
    <format dxfId="15">
      <pivotArea field="6" type="button" dataOnly="0" labelOnly="1" outline="0" axis="axisCol" fieldPosition="0"/>
    </format>
    <format dxfId="14">
      <pivotArea type="topRight" dataOnly="0" labelOnly="1" outline="0" fieldPosition="0"/>
    </format>
    <format dxfId="13">
      <pivotArea field="16" type="button" dataOnly="0" labelOnly="1" outline="0" axis="axisRow" fieldPosition="0"/>
    </format>
    <format dxfId="12">
      <pivotArea dataOnly="0" labelOnly="1" fieldPosition="0">
        <references count="1">
          <reference field="16" count="0"/>
        </references>
      </pivotArea>
    </format>
    <format dxfId="11">
      <pivotArea dataOnly="0" labelOnly="1" grandRow="1" outline="0" fieldPosition="0"/>
    </format>
    <format dxfId="10">
      <pivotArea dataOnly="0" labelOnly="1" grandCol="1" outline="0" fieldPosition="0"/>
    </format>
    <format dxfId="9">
      <pivotArea outline="0" fieldPosition="0">
        <references count="1">
          <reference field="429496729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10" format="14" series="1">
      <pivotArea type="data" outline="0" fieldPosition="0">
        <references count="2">
          <reference field="4294967294" count="1" selected="0">
            <x v="0"/>
          </reference>
          <reference field="6" count="1" selected="0">
            <x v="0"/>
          </reference>
        </references>
      </pivotArea>
    </chartFormat>
    <chartFormat chart="10" format="15" series="1">
      <pivotArea type="data" outline="0" fieldPosition="0">
        <references count="2">
          <reference field="4294967294" count="1" selected="0">
            <x v="0"/>
          </reference>
          <reference field="6" count="1" selected="0">
            <x v="1"/>
          </reference>
        </references>
      </pivotArea>
    </chartFormat>
    <chartFormat chart="10" format="16" series="1">
      <pivotArea type="data" outline="0" fieldPosition="0">
        <references count="2">
          <reference field="4294967294" count="1" selected="0">
            <x v="0"/>
          </reference>
          <reference field="6" count="1" selected="0">
            <x v="2"/>
          </reference>
        </references>
      </pivotArea>
    </chartFormat>
    <chartFormat chart="10" format="17" series="1">
      <pivotArea type="data" outline="0" fieldPosition="0">
        <references count="2">
          <reference field="4294967294" count="1" selected="0">
            <x v="0"/>
          </reference>
          <reference field="6" count="1" selected="0">
            <x v="3"/>
          </reference>
        </references>
      </pivotArea>
    </chartFormat>
    <chartFormat chart="10" format="26">
      <pivotArea type="data" outline="0" fieldPosition="0">
        <references count="3">
          <reference field="4294967294" count="1" selected="0">
            <x v="0"/>
          </reference>
          <reference field="6" count="1" selected="0">
            <x v="1"/>
          </reference>
          <reference field="16" count="1" selected="0">
            <x v="0"/>
          </reference>
        </references>
      </pivotArea>
    </chartFormat>
    <chartFormat chart="10" format="27" series="1">
      <pivotArea type="data" outline="0" fieldPosition="0">
        <references count="1">
          <reference field="4294967294" count="1" selected="0">
            <x v="0"/>
          </reference>
        </references>
      </pivotArea>
    </chartFormat>
    <chartFormat chart="10" format="33">
      <pivotArea type="data" outline="0" fieldPosition="0">
        <references count="4">
          <reference field="4294967294" count="1" selected="0">
            <x v="0"/>
          </reference>
          <reference field="6" count="1" selected="0">
            <x v="1"/>
          </reference>
          <reference field="15" count="1" selected="0">
            <x v="0"/>
          </reference>
          <reference field="16" count="1" selected="0">
            <x v="0"/>
          </reference>
        </references>
      </pivotArea>
    </chartFormat>
    <chartFormat chart="10" format="34">
      <pivotArea type="data" outline="0" fieldPosition="0">
        <references count="4">
          <reference field="4294967294" count="1" selected="0">
            <x v="0"/>
          </reference>
          <reference field="6" count="1" selected="0">
            <x v="1"/>
          </reference>
          <reference field="15" count="1" selected="0">
            <x v="1"/>
          </reference>
          <reference field="16" count="1" selected="0">
            <x v="0"/>
          </reference>
        </references>
      </pivotArea>
    </chartFormat>
    <chartFormat chart="10" format="35">
      <pivotArea type="data" outline="0" fieldPosition="0">
        <references count="4">
          <reference field="4294967294" count="1" selected="0">
            <x v="0"/>
          </reference>
          <reference field="6" count="1" selected="0">
            <x v="1"/>
          </reference>
          <reference field="15" count="1" selected="0">
            <x v="2"/>
          </reference>
          <reference field="16" count="1" selected="0">
            <x v="0"/>
          </reference>
        </references>
      </pivotArea>
    </chartFormat>
    <chartFormat chart="10" format="36">
      <pivotArea type="data" outline="0" fieldPosition="0">
        <references count="4">
          <reference field="4294967294" count="1" selected="0">
            <x v="0"/>
          </reference>
          <reference field="6" count="1" selected="0">
            <x v="1"/>
          </reference>
          <reference field="15" count="1" selected="0">
            <x v="3"/>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D9B0FB-E638-4837-9A3C-735F3295E53D}"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U4:V41" firstHeaderRow="1" firstDataRow="1" firstDataCol="1"/>
  <pivotFields count="18">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s>
  <rowFields count="2">
    <field x="16"/>
    <field x="1"/>
  </rowFields>
  <rowItems count="37">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t="grand">
      <x/>
    </i>
  </rowItems>
  <colItems count="1">
    <i/>
  </colItems>
  <dataFields count="1">
    <dataField name="Sum of Total Sales" fld="10" baseField="0" baseItem="0"/>
  </dataFields>
  <formats count="10">
    <format dxfId="37">
      <pivotArea type="all" dataOnly="0" outline="0" fieldPosition="0"/>
    </format>
    <format dxfId="36">
      <pivotArea outline="0" collapsedLevelsAreSubtotals="1" fieldPosition="0"/>
    </format>
    <format dxfId="35">
      <pivotArea field="16" type="button" dataOnly="0" labelOnly="1" outline="0" axis="axisRow" fieldPosition="0"/>
    </format>
    <format dxfId="34">
      <pivotArea dataOnly="0" labelOnly="1" fieldPosition="0">
        <references count="1">
          <reference field="16" count="3">
            <x v="0"/>
            <x v="1"/>
            <x v="2"/>
          </reference>
        </references>
      </pivotArea>
    </format>
    <format dxfId="33">
      <pivotArea dataOnly="0" labelOnly="1" grandRow="1" outline="0" fieldPosition="0"/>
    </format>
    <format dxfId="32">
      <pivotArea type="all" dataOnly="0" outline="0" fieldPosition="0"/>
    </format>
    <format dxfId="31">
      <pivotArea outline="0" collapsedLevelsAreSubtotals="1" fieldPosition="0"/>
    </format>
    <format dxfId="30">
      <pivotArea field="16" type="button" dataOnly="0" labelOnly="1" outline="0" axis="axisRow" fieldPosition="0"/>
    </format>
    <format dxfId="29">
      <pivotArea dataOnly="0" labelOnly="1" fieldPosition="0">
        <references count="1">
          <reference field="16" count="3">
            <x v="0"/>
            <x v="1"/>
            <x v="2"/>
          </reference>
        </references>
      </pivotArea>
    </format>
    <format dxfId="28">
      <pivotArea dataOnly="0" labelOnly="1" grandRow="1" outline="0" fieldPosition="0"/>
    </format>
  </formats>
  <chartFormats count="16">
    <chartFormat chart="5" format="2" series="1">
      <pivotArea type="data" outline="0" fieldPosition="0">
        <references count="1">
          <reference field="4294967294" count="1" selected="0">
            <x v="0"/>
          </reference>
        </references>
      </pivotArea>
    </chartFormat>
    <chartFormat chart="5" format="8">
      <pivotArea type="data" outline="0" fieldPosition="0">
        <references count="3">
          <reference field="4294967294" count="1" selected="0">
            <x v="0"/>
          </reference>
          <reference field="1" count="1" selected="0">
            <x v="2"/>
          </reference>
          <reference field="16" count="1" selected="0">
            <x v="0"/>
          </reference>
        </references>
      </pivotArea>
    </chartFormat>
    <chartFormat chart="5" format="9">
      <pivotArea type="data" outline="0" fieldPosition="0">
        <references count="3">
          <reference field="4294967294" count="1" selected="0">
            <x v="0"/>
          </reference>
          <reference field="1" count="1" selected="0">
            <x v="3"/>
          </reference>
          <reference field="16" count="1" selected="0">
            <x v="0"/>
          </reference>
        </references>
      </pivotArea>
    </chartFormat>
    <chartFormat chart="5" format="10">
      <pivotArea type="data" outline="0" fieldPosition="0">
        <references count="3">
          <reference field="4294967294" count="1" selected="0">
            <x v="0"/>
          </reference>
          <reference field="1" count="1" selected="0">
            <x v="4"/>
          </reference>
          <reference field="16" count="1" selected="0">
            <x v="0"/>
          </reference>
        </references>
      </pivotArea>
    </chartFormat>
    <chartFormat chart="5" format="11">
      <pivotArea type="data" outline="0" fieldPosition="0">
        <references count="3">
          <reference field="4294967294" count="1" selected="0">
            <x v="0"/>
          </reference>
          <reference field="1" count="1" selected="0">
            <x v="5"/>
          </reference>
          <reference field="16" count="1" selected="0">
            <x v="0"/>
          </reference>
        </references>
      </pivotArea>
    </chartFormat>
    <chartFormat chart="5" format="12">
      <pivotArea type="data" outline="0" fieldPosition="0">
        <references count="3">
          <reference field="4294967294" count="1" selected="0">
            <x v="0"/>
          </reference>
          <reference field="1" count="1" selected="0">
            <x v="10"/>
          </reference>
          <reference field="16" count="1" selected="0">
            <x v="0"/>
          </reference>
        </references>
      </pivotArea>
    </chartFormat>
    <chartFormat chart="5" format="13">
      <pivotArea type="data" outline="0" fieldPosition="0">
        <references count="3">
          <reference field="4294967294" count="1" selected="0">
            <x v="0"/>
          </reference>
          <reference field="1" count="1" selected="0">
            <x v="11"/>
          </reference>
          <reference field="16" count="1" selected="0">
            <x v="0"/>
          </reference>
        </references>
      </pivotArea>
    </chartFormat>
    <chartFormat chart="5" format="14">
      <pivotArea type="data" outline="0" fieldPosition="0">
        <references count="3">
          <reference field="4294967294" count="1" selected="0">
            <x v="0"/>
          </reference>
          <reference field="1" count="1" selected="0">
            <x v="4"/>
          </reference>
          <reference field="16" count="1" selected="0">
            <x v="1"/>
          </reference>
        </references>
      </pivotArea>
    </chartFormat>
    <chartFormat chart="5" format="15">
      <pivotArea type="data" outline="0" fieldPosition="0">
        <references count="3">
          <reference field="4294967294" count="1" selected="0">
            <x v="0"/>
          </reference>
          <reference field="1" count="1" selected="0">
            <x v="5"/>
          </reference>
          <reference field="16" count="1" selected="0">
            <x v="1"/>
          </reference>
        </references>
      </pivotArea>
    </chartFormat>
    <chartFormat chart="5" format="16">
      <pivotArea type="data" outline="0" fieldPosition="0">
        <references count="3">
          <reference field="4294967294" count="1" selected="0">
            <x v="0"/>
          </reference>
          <reference field="1" count="1" selected="0">
            <x v="12"/>
          </reference>
          <reference field="16" count="1" selected="0">
            <x v="1"/>
          </reference>
        </references>
      </pivotArea>
    </chartFormat>
    <chartFormat chart="5" format="17">
      <pivotArea type="data" outline="0" fieldPosition="0">
        <references count="3">
          <reference field="4294967294" count="1" selected="0">
            <x v="0"/>
          </reference>
          <reference field="1" count="1" selected="0">
            <x v="1"/>
          </reference>
          <reference field="16" count="1" selected="0">
            <x v="2"/>
          </reference>
        </references>
      </pivotArea>
    </chartFormat>
    <chartFormat chart="5" format="18">
      <pivotArea type="data" outline="0" fieldPosition="0">
        <references count="3">
          <reference field="4294967294" count="1" selected="0">
            <x v="0"/>
          </reference>
          <reference field="1" count="1" selected="0">
            <x v="7"/>
          </reference>
          <reference field="16" count="1" selected="0">
            <x v="2"/>
          </reference>
        </references>
      </pivotArea>
    </chartFormat>
    <chartFormat chart="5" format="19">
      <pivotArea type="data" outline="0" fieldPosition="0">
        <references count="3">
          <reference field="4294967294" count="1" selected="0">
            <x v="0"/>
          </reference>
          <reference field="1" count="1" selected="0">
            <x v="8"/>
          </reference>
          <reference field="16" count="1" selected="0">
            <x v="2"/>
          </reference>
        </references>
      </pivotArea>
    </chartFormat>
    <chartFormat chart="5" format="20">
      <pivotArea type="data" outline="0" fieldPosition="0">
        <references count="3">
          <reference field="4294967294" count="1" selected="0">
            <x v="0"/>
          </reference>
          <reference field="1" count="1" selected="0">
            <x v="2"/>
          </reference>
          <reference field="16" count="1" selected="0">
            <x v="1"/>
          </reference>
        </references>
      </pivotArea>
    </chartFormat>
    <chartFormat chart="5" format="21">
      <pivotArea type="data" outline="0" fieldPosition="0">
        <references count="3">
          <reference field="4294967294" count="1" selected="0">
            <x v="0"/>
          </reference>
          <reference field="1" count="1" selected="0">
            <x v="1"/>
          </reference>
          <reference field="16" count="1" selected="0">
            <x v="1"/>
          </reference>
        </references>
      </pivotArea>
    </chartFormat>
    <chartFormat chart="5" format="23">
      <pivotArea type="data" outline="0" fieldPosition="0">
        <references count="3">
          <reference field="4294967294" count="1" selected="0">
            <x v="0"/>
          </reference>
          <reference field="1" count="1" selected="0">
            <x v="3"/>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DBC035-D182-4EA2-8A38-D4704267B0D4}" name="Total Sales Per Payment Method"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rowHeaderCaption="STORE TYPE">
  <location ref="H4:I9"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6">
        <item x="0"/>
        <item x="4"/>
        <item x="2"/>
        <item x="3"/>
        <item x="1"/>
        <item t="default"/>
      </items>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4">
        <item x="0"/>
        <item x="1"/>
        <item x="2"/>
        <item t="default"/>
      </items>
    </pivotField>
    <pivotField showAll="0"/>
    <pivotField showAll="0">
      <items count="7">
        <item sd="0" x="1"/>
        <item sd="0" x="2"/>
        <item sd="0" x="3"/>
        <item sd="0" x="4"/>
        <item x="0"/>
        <item x="5"/>
        <item t="default"/>
      </items>
    </pivotField>
    <pivotField showAll="0">
      <items count="6">
        <item sd="0" x="1"/>
        <item sd="0" x="2"/>
        <item sd="0" x="3"/>
        <item x="0"/>
        <item x="4"/>
        <item t="default"/>
      </items>
    </pivotField>
    <pivotField dragToRow="0" dragToCol="0" dragToPage="0" showAll="0" defaultSubtotal="0"/>
  </pivotFields>
  <rowFields count="1">
    <field x="6"/>
  </rowFields>
  <rowItems count="5">
    <i>
      <x/>
    </i>
    <i>
      <x v="2"/>
    </i>
    <i>
      <x v="1"/>
    </i>
    <i>
      <x v="3"/>
    </i>
    <i t="grand">
      <x/>
    </i>
  </rowItems>
  <colItems count="1">
    <i/>
  </colItems>
  <dataFields count="1">
    <dataField name="Sum of Units_Sold" fld="7" showDataAs="percentOfTotal" baseField="0" baseItem="0" numFmtId="10"/>
  </dataFields>
  <formats count="12">
    <format dxfId="49">
      <pivotArea type="all" dataOnly="0" outline="0" fieldPosition="0"/>
    </format>
    <format dxfId="48">
      <pivotArea outline="0" collapsedLevelsAreSubtotals="1" fieldPosition="0"/>
    </format>
    <format dxfId="47">
      <pivotArea field="6" type="button" dataOnly="0" labelOnly="1" outline="0" axis="axisRow" fieldPosition="0"/>
    </format>
    <format dxfId="46">
      <pivotArea dataOnly="0" labelOnly="1" fieldPosition="0">
        <references count="1">
          <reference field="6"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6" type="button" dataOnly="0" labelOnly="1" outline="0" axis="axisRow" fieldPosition="0"/>
    </format>
    <format dxfId="40">
      <pivotArea dataOnly="0" labelOnly="1" fieldPosition="0">
        <references count="1">
          <reference field="6" count="0"/>
        </references>
      </pivotArea>
    </format>
    <format dxfId="39">
      <pivotArea dataOnly="0" labelOnly="1" grandRow="1" outline="0" fieldPosition="0"/>
    </format>
    <format dxfId="38">
      <pivotArea dataOnly="0" labelOnly="1" outline="0" axis="axisValues"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6" count="1" selected="0">
            <x v="0"/>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4" format="13">
      <pivotArea type="data" outline="0" fieldPosition="0">
        <references count="2">
          <reference field="4294967294" count="1" selected="0">
            <x v="0"/>
          </reference>
          <reference field="6" count="1" selected="0">
            <x v="1"/>
          </reference>
        </references>
      </pivotArea>
    </chartFormat>
    <chartFormat chart="4"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95FC92-14B2-46D4-B25F-1DB038A390D5}" name="Highest Selling Per Gender Per Category"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Z4:AA28"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Row" showAll="0">
      <items count="21">
        <item x="5"/>
        <item x="16"/>
        <item x="7"/>
        <item x="1"/>
        <item x="10"/>
        <item x="19"/>
        <item x="4"/>
        <item x="3"/>
        <item x="14"/>
        <item x="12"/>
        <item x="17"/>
        <item x="8"/>
        <item x="18"/>
        <item x="2"/>
        <item x="0"/>
        <item x="9"/>
        <item x="11"/>
        <item x="6"/>
        <item x="15"/>
        <item x="13"/>
        <item t="default"/>
      </items>
    </pivotField>
    <pivotField axis="axisRow" showAll="0">
      <items count="4">
        <item x="2"/>
        <item x="0"/>
        <item x="1"/>
        <item t="default"/>
      </items>
    </pivotField>
    <pivotField showAll="0">
      <items count="6">
        <item x="0"/>
        <item x="4"/>
        <item x="2"/>
        <item x="3"/>
        <item x="1"/>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items count="7">
        <item sd="0" x="1"/>
        <item sd="0" x="2"/>
        <item sd="0" x="3"/>
        <item sd="0" x="4"/>
        <item x="0"/>
        <item x="5"/>
        <item t="default"/>
      </items>
    </pivotField>
    <pivotField showAll="0">
      <items count="6">
        <item sd="0" x="1"/>
        <item sd="0" x="2"/>
        <item sd="0" x="3"/>
        <item x="0"/>
        <item x="4"/>
        <item t="default"/>
      </items>
    </pivotField>
    <pivotField dragToRow="0" dragToCol="0" dragToPage="0" showAll="0" defaultSubtotal="0"/>
  </pivotFields>
  <rowFields count="2">
    <field x="4"/>
    <field x="3"/>
  </rowFields>
  <rowItems count="24">
    <i>
      <x/>
    </i>
    <i r="1">
      <x v="4"/>
    </i>
    <i r="1">
      <x v="6"/>
    </i>
    <i r="1">
      <x v="7"/>
    </i>
    <i r="1">
      <x v="10"/>
    </i>
    <i r="1">
      <x v="11"/>
    </i>
    <i r="1">
      <x v="15"/>
    </i>
    <i>
      <x v="1"/>
    </i>
    <i r="1">
      <x/>
    </i>
    <i r="1">
      <x v="3"/>
    </i>
    <i r="1">
      <x v="9"/>
    </i>
    <i r="1">
      <x v="14"/>
    </i>
    <i r="1">
      <x v="16"/>
    </i>
    <i r="1">
      <x v="19"/>
    </i>
    <i>
      <x v="2"/>
    </i>
    <i r="1">
      <x v="1"/>
    </i>
    <i r="1">
      <x v="2"/>
    </i>
    <i r="1">
      <x v="5"/>
    </i>
    <i r="1">
      <x v="8"/>
    </i>
    <i r="1">
      <x v="12"/>
    </i>
    <i r="1">
      <x v="13"/>
    </i>
    <i r="1">
      <x v="17"/>
    </i>
    <i r="1">
      <x v="18"/>
    </i>
    <i t="grand">
      <x/>
    </i>
  </rowItems>
  <colItems count="1">
    <i/>
  </colItems>
  <dataFields count="1">
    <dataField name="Sum of Total Sales" fld="10" baseField="0" baseItem="0"/>
  </dataFields>
  <formats count="8">
    <format dxfId="57">
      <pivotArea type="all" dataOnly="0" outline="0" fieldPosition="0"/>
    </format>
    <format dxfId="56">
      <pivotArea outline="0" collapsedLevelsAreSubtotals="1" fieldPosition="0"/>
    </format>
    <format dxfId="55">
      <pivotArea field="13" type="button" dataOnly="0" labelOnly="1" outline="0"/>
    </format>
    <format dxfId="54">
      <pivotArea dataOnly="0" labelOnly="1" grandRow="1" outline="0" fieldPosition="0"/>
    </format>
    <format dxfId="53">
      <pivotArea type="all" dataOnly="0" outline="0" fieldPosition="0"/>
    </format>
    <format dxfId="52">
      <pivotArea outline="0" collapsedLevelsAreSubtotals="1" fieldPosition="0"/>
    </format>
    <format dxfId="51">
      <pivotArea field="13" type="button" dataOnly="0" labelOnly="1" outline="0"/>
    </format>
    <format dxfId="5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00B685-41BE-44A4-83A1-5A9E2C278052}"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U49:V86" firstHeaderRow="1" firstDataRow="1" firstDataCol="1"/>
  <pivotFields count="18">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items count="7">
        <item x="1"/>
        <item x="2"/>
        <item x="3"/>
        <item x="4"/>
        <item x="0"/>
        <item x="5"/>
        <item t="default"/>
      </items>
    </pivotField>
    <pivotField axis="axisRow" showAll="0">
      <items count="6">
        <item x="1"/>
        <item x="2"/>
        <item x="3"/>
        <item x="0"/>
        <item x="4"/>
        <item t="default"/>
      </items>
    </pivotField>
    <pivotField dragToRow="0" dragToCol="0" dragToPage="0" showAll="0" defaultSubtotal="0"/>
  </pivotFields>
  <rowFields count="2">
    <field x="16"/>
    <field x="1"/>
  </rowFields>
  <rowItems count="37">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t="grand">
      <x/>
    </i>
  </rowItems>
  <colItems count="1">
    <i/>
  </colItems>
  <dataFields count="1">
    <dataField name="Sum of Profit" fld="11" baseField="0" baseItem="0"/>
  </dataFields>
  <formats count="10">
    <format dxfId="67">
      <pivotArea type="all" dataOnly="0" outline="0" fieldPosition="0"/>
    </format>
    <format dxfId="66">
      <pivotArea outline="0" collapsedLevelsAreSubtotals="1" fieldPosition="0"/>
    </format>
    <format dxfId="65">
      <pivotArea field="16" type="button" dataOnly="0" labelOnly="1" outline="0" axis="axisRow" fieldPosition="0"/>
    </format>
    <format dxfId="64">
      <pivotArea dataOnly="0" labelOnly="1" fieldPosition="0">
        <references count="1">
          <reference field="16" count="3">
            <x v="0"/>
            <x v="1"/>
            <x v="2"/>
          </reference>
        </references>
      </pivotArea>
    </format>
    <format dxfId="63">
      <pivotArea dataOnly="0" labelOnly="1" grandRow="1" outline="0" fieldPosition="0"/>
    </format>
    <format dxfId="62">
      <pivotArea type="all" dataOnly="0" outline="0" fieldPosition="0"/>
    </format>
    <format dxfId="61">
      <pivotArea outline="0" collapsedLevelsAreSubtotals="1" fieldPosition="0"/>
    </format>
    <format dxfId="60">
      <pivotArea field="16" type="button" dataOnly="0" labelOnly="1" outline="0" axis="axisRow" fieldPosition="0"/>
    </format>
    <format dxfId="59">
      <pivotArea dataOnly="0" labelOnly="1" fieldPosition="0">
        <references count="1">
          <reference field="16" count="3">
            <x v="0"/>
            <x v="1"/>
            <x v="2"/>
          </reference>
        </references>
      </pivotArea>
    </format>
    <format dxfId="58">
      <pivotArea dataOnly="0" labelOnly="1" grandRow="1" outline="0" fieldPosition="0"/>
    </format>
  </formats>
  <chartFormats count="1">
    <chartFormat chart="5"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BE96EF-72E5-4FB2-8545-93F837ABBF96}" name="Total Number of Sale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H17:H18" firstHeaderRow="1" firstDataRow="1" firstDataCol="0"/>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6">
        <item x="0"/>
        <item x="4"/>
        <item x="2"/>
        <item x="3"/>
        <item x="1"/>
        <item t="default"/>
      </items>
    </pivotField>
    <pivotField showAll="0"/>
    <pivotField dataField="1" showAll="0"/>
    <pivotField showAll="0"/>
    <pivotField showAll="0"/>
    <pivotField showAll="0"/>
    <pivotField showAll="0"/>
    <pivotField showAll="0"/>
    <pivotField showAll="0">
      <items count="4">
        <item x="0"/>
        <item x="1"/>
        <item x="2"/>
        <item t="default"/>
      </items>
    </pivotField>
    <pivotField showAll="0"/>
    <pivotField showAll="0">
      <items count="7">
        <item sd="0" x="1"/>
        <item sd="0" x="2"/>
        <item sd="0" x="3"/>
        <item sd="0" x="4"/>
        <item x="0"/>
        <item x="5"/>
        <item t="default"/>
      </items>
    </pivotField>
    <pivotField showAll="0">
      <items count="6">
        <item sd="0" x="1"/>
        <item sd="0" x="2"/>
        <item sd="0" x="3"/>
        <item x="0"/>
        <item x="4"/>
        <item t="default"/>
      </items>
    </pivotField>
    <pivotField dragToRow="0" dragToCol="0" dragToPage="0" showAll="0" defaultSubtotal="0"/>
  </pivotFields>
  <rowItems count="1">
    <i/>
  </rowItems>
  <colItems count="1">
    <i/>
  </colItems>
  <dataFields count="1">
    <dataField name="TOTAL SOLD UNITS" fld="7" baseField="0" baseItem="0"/>
  </dataFields>
  <formats count="6">
    <format dxfId="73">
      <pivotArea type="all" dataOnly="0" outline="0"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073086-4AA2-4820-8F2F-6A8382252166}" name="Regional Highest Profit Per Product"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P4:Q10"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Row" showAll="0">
      <items count="21">
        <item x="5"/>
        <item x="16"/>
        <item x="7"/>
        <item x="1"/>
        <item x="10"/>
        <item x="19"/>
        <item x="4"/>
        <item x="3"/>
        <item x="14"/>
        <item x="12"/>
        <item x="17"/>
        <item x="8"/>
        <item x="18"/>
        <item x="2"/>
        <item x="0"/>
        <item x="9"/>
        <item x="11"/>
        <item x="6"/>
        <item x="15"/>
        <item x="13"/>
        <item t="default"/>
      </items>
    </pivotField>
    <pivotField showAll="0"/>
    <pivotField axis="axisRow" showAll="0">
      <items count="6">
        <item sd="0" x="0"/>
        <item sd="0" x="4"/>
        <item sd="0" x="2"/>
        <item sd="0" x="3"/>
        <item sd="0" x="1"/>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items count="7">
        <item sd="0" x="1"/>
        <item sd="0" x="2"/>
        <item sd="0" x="3"/>
        <item sd="0" x="4"/>
        <item x="0"/>
        <item x="5"/>
        <item t="default"/>
      </items>
    </pivotField>
    <pivotField showAll="0">
      <items count="6">
        <item sd="0" x="1"/>
        <item sd="0" x="2"/>
        <item sd="0" x="3"/>
        <item x="0"/>
        <item x="4"/>
        <item t="default"/>
      </items>
    </pivotField>
    <pivotField dragToRow="0" dragToCol="0" dragToPage="0" showAll="0" defaultSubtotal="0"/>
  </pivotFields>
  <rowFields count="2">
    <field x="5"/>
    <field x="3"/>
  </rowFields>
  <rowItems count="6">
    <i>
      <x/>
    </i>
    <i>
      <x v="1"/>
    </i>
    <i>
      <x v="2"/>
    </i>
    <i>
      <x v="3"/>
    </i>
    <i>
      <x v="4"/>
    </i>
    <i t="grand">
      <x/>
    </i>
  </rowItems>
  <colItems count="1">
    <i/>
  </colItems>
  <dataFields count="1">
    <dataField name="Sum of Profit" fld="11" baseField="0" baseItem="0"/>
  </dataFields>
  <formats count="22">
    <format dxfId="95">
      <pivotArea type="all" dataOnly="0" outline="0" fieldPosition="0"/>
    </format>
    <format dxfId="94">
      <pivotArea outline="0" collapsedLevelsAreSubtotals="1" fieldPosition="0"/>
    </format>
    <format dxfId="93">
      <pivotArea field="5" type="button" dataOnly="0" labelOnly="1" outline="0" axis="axisRow" fieldPosition="0"/>
    </format>
    <format dxfId="92">
      <pivotArea dataOnly="0" labelOnly="1" fieldPosition="0">
        <references count="1">
          <reference field="5" count="0"/>
        </references>
      </pivotArea>
    </format>
    <format dxfId="91">
      <pivotArea dataOnly="0" labelOnly="1" grandRow="1" outline="0" fieldPosition="0"/>
    </format>
    <format dxfId="90">
      <pivotArea dataOnly="0" labelOnly="1" fieldPosition="0">
        <references count="2">
          <reference field="3" count="0"/>
          <reference field="5" count="1" selected="0">
            <x v="0"/>
          </reference>
        </references>
      </pivotArea>
    </format>
    <format dxfId="89">
      <pivotArea dataOnly="0" labelOnly="1" fieldPosition="0">
        <references count="2">
          <reference field="3" count="0"/>
          <reference field="5" count="1" selected="0">
            <x v="1"/>
          </reference>
        </references>
      </pivotArea>
    </format>
    <format dxfId="88">
      <pivotArea dataOnly="0" labelOnly="1" fieldPosition="0">
        <references count="2">
          <reference field="3" count="0"/>
          <reference field="5" count="1" selected="0">
            <x v="2"/>
          </reference>
        </references>
      </pivotArea>
    </format>
    <format dxfId="87">
      <pivotArea dataOnly="0" labelOnly="1" fieldPosition="0">
        <references count="2">
          <reference field="3" count="19">
            <x v="0"/>
            <x v="1"/>
            <x v="2"/>
            <x v="3"/>
            <x v="4"/>
            <x v="5"/>
            <x v="6"/>
            <x v="7"/>
            <x v="8"/>
            <x v="9"/>
            <x v="10"/>
            <x v="11"/>
            <x v="12"/>
            <x v="13"/>
            <x v="14"/>
            <x v="15"/>
            <x v="16"/>
            <x v="18"/>
            <x v="19"/>
          </reference>
          <reference field="5" count="1" selected="0">
            <x v="3"/>
          </reference>
        </references>
      </pivotArea>
    </format>
    <format dxfId="86">
      <pivotArea dataOnly="0" labelOnly="1" fieldPosition="0">
        <references count="2">
          <reference field="3" count="0"/>
          <reference field="5" count="1" selected="0">
            <x v="4"/>
          </reference>
        </references>
      </pivotArea>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5" type="button" dataOnly="0" labelOnly="1" outline="0" axis="axisRow" fieldPosition="0"/>
    </format>
    <format dxfId="81">
      <pivotArea dataOnly="0" labelOnly="1" fieldPosition="0">
        <references count="1">
          <reference field="5" count="0"/>
        </references>
      </pivotArea>
    </format>
    <format dxfId="80">
      <pivotArea dataOnly="0" labelOnly="1" grandRow="1" outline="0" fieldPosition="0"/>
    </format>
    <format dxfId="79">
      <pivotArea dataOnly="0" labelOnly="1" fieldPosition="0">
        <references count="2">
          <reference field="3" count="0"/>
          <reference field="5" count="1" selected="0">
            <x v="0"/>
          </reference>
        </references>
      </pivotArea>
    </format>
    <format dxfId="78">
      <pivotArea dataOnly="0" labelOnly="1" fieldPosition="0">
        <references count="2">
          <reference field="3" count="0"/>
          <reference field="5" count="1" selected="0">
            <x v="1"/>
          </reference>
        </references>
      </pivotArea>
    </format>
    <format dxfId="77">
      <pivotArea dataOnly="0" labelOnly="1" fieldPosition="0">
        <references count="2">
          <reference field="3" count="0"/>
          <reference field="5" count="1" selected="0">
            <x v="2"/>
          </reference>
        </references>
      </pivotArea>
    </format>
    <format dxfId="76">
      <pivotArea dataOnly="0" labelOnly="1" fieldPosition="0">
        <references count="2">
          <reference field="3" count="19">
            <x v="0"/>
            <x v="1"/>
            <x v="2"/>
            <x v="3"/>
            <x v="4"/>
            <x v="5"/>
            <x v="6"/>
            <x v="7"/>
            <x v="8"/>
            <x v="9"/>
            <x v="10"/>
            <x v="11"/>
            <x v="12"/>
            <x v="13"/>
            <x v="14"/>
            <x v="15"/>
            <x v="16"/>
            <x v="18"/>
            <x v="19"/>
          </reference>
          <reference field="5" count="1" selected="0">
            <x v="3"/>
          </reference>
        </references>
      </pivotArea>
    </format>
    <format dxfId="75">
      <pivotArea dataOnly="0" labelOnly="1" fieldPosition="0">
        <references count="2">
          <reference field="3" count="0"/>
          <reference field="5" count="1" selected="0">
            <x v="4"/>
          </reference>
        </references>
      </pivotArea>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7E0970-4ACC-4B36-9086-908D652F72DD}" name="Highest Sales Per Store Per Region"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K4:M15" firstHeaderRow="0"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Row" showAll="0" measureFilter="1"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dataField="1" showAll="0"/>
    <pivotField dataField="1" showAll="0"/>
    <pivotField showAll="0"/>
    <pivotField showAll="0">
      <items count="4">
        <item x="0"/>
        <item x="1"/>
        <item x="2"/>
        <item t="default"/>
      </items>
    </pivotField>
    <pivotField showAll="0"/>
    <pivotField showAll="0">
      <items count="7">
        <item sd="0" x="1"/>
        <item sd="0" x="2"/>
        <item sd="0" x="3"/>
        <item sd="0" x="4"/>
        <item x="0"/>
        <item x="5"/>
        <item t="default"/>
      </items>
    </pivotField>
    <pivotField showAll="0">
      <items count="6">
        <item sd="0" x="1"/>
        <item sd="0" x="2"/>
        <item sd="0" x="3"/>
        <item x="0"/>
        <item x="4"/>
        <item t="default"/>
      </items>
    </pivotField>
    <pivotField dragToRow="0" dragToCol="0" dragToPage="0" showAll="0" defaultSubtotal="0"/>
  </pivotFields>
  <rowFields count="1">
    <field x="3"/>
  </rowFields>
  <rowItems count="11">
    <i>
      <x v="8"/>
    </i>
    <i>
      <x v="18"/>
    </i>
    <i>
      <x v="2"/>
    </i>
    <i>
      <x v="9"/>
    </i>
    <i>
      <x v="17"/>
    </i>
    <i>
      <x v="19"/>
    </i>
    <i>
      <x v="5"/>
    </i>
    <i>
      <x v="13"/>
    </i>
    <i>
      <x v="12"/>
    </i>
    <i>
      <x v="6"/>
    </i>
    <i t="grand">
      <x/>
    </i>
  </rowItems>
  <colFields count="1">
    <field x="-2"/>
  </colFields>
  <colItems count="2">
    <i>
      <x/>
    </i>
    <i i="1">
      <x v="1"/>
    </i>
  </colItems>
  <dataFields count="2">
    <dataField name="Sum of Profit" fld="11" baseField="0" baseItem="0"/>
    <dataField name="Sum of Total Sales" fld="10" baseField="0" baseItem="0"/>
  </dataFields>
  <formats count="5">
    <format dxfId="100">
      <pivotArea type="all" dataOnly="0" outline="0" fieldPosition="0"/>
    </format>
    <format dxfId="99">
      <pivotArea outline="0" collapsedLevelsAreSubtotals="1" fieldPosition="0"/>
    </format>
    <format dxfId="98">
      <pivotArea field="5" type="button" dataOnly="0" labelOnly="1" outline="0"/>
    </format>
    <format dxfId="97">
      <pivotArea dataOnly="0" labelOnly="1" grandRow="1" outline="0" fieldPosition="0"/>
    </format>
    <format dxfId="96">
      <pivotArea type="all" dataOnly="0" outline="0" fieldPosition="0"/>
    </format>
  </formats>
  <chartFormats count="18">
    <chartFormat chart="2"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pivotArea type="data" outline="0" fieldPosition="0">
        <references count="2">
          <reference field="4294967294" count="1" selected="0">
            <x v="1"/>
          </reference>
          <reference field="3" count="1" selected="0">
            <x v="11"/>
          </reference>
        </references>
      </pivotArea>
    </chartFormat>
    <chartFormat chart="6" format="12">
      <pivotArea type="data" outline="0" fieldPosition="0">
        <references count="2">
          <reference field="4294967294" count="1" selected="0">
            <x v="1"/>
          </reference>
          <reference field="3" count="1" selected="0">
            <x v="3"/>
          </reference>
        </references>
      </pivotArea>
    </chartFormat>
    <chartFormat chart="6" format="13">
      <pivotArea type="data" outline="0" fieldPosition="0">
        <references count="2">
          <reference field="4294967294" count="1" selected="0">
            <x v="1"/>
          </reference>
          <reference field="3" count="1" selected="0">
            <x v="7"/>
          </reference>
        </references>
      </pivotArea>
    </chartFormat>
    <chartFormat chart="6" format="14">
      <pivotArea type="data" outline="0" fieldPosition="0">
        <references count="2">
          <reference field="4294967294" count="1" selected="0">
            <x v="1"/>
          </reference>
          <reference field="3" count="1" selected="0">
            <x v="15"/>
          </reference>
        </references>
      </pivotArea>
    </chartFormat>
    <chartFormat chart="6" format="15">
      <pivotArea type="data" outline="0" fieldPosition="0">
        <references count="2">
          <reference field="4294967294" count="1" selected="0">
            <x v="1"/>
          </reference>
          <reference field="3" count="1" selected="0">
            <x v="16"/>
          </reference>
        </references>
      </pivotArea>
    </chartFormat>
    <chartFormat chart="6" format="16">
      <pivotArea type="data" outline="0" fieldPosition="0">
        <references count="2">
          <reference field="4294967294" count="1" selected="0">
            <x v="1"/>
          </reference>
          <reference field="3" count="1" selected="0">
            <x v="18"/>
          </reference>
        </references>
      </pivotArea>
    </chartFormat>
    <chartFormat chart="6" format="17">
      <pivotArea type="data" outline="0" fieldPosition="0">
        <references count="2">
          <reference field="4294967294" count="1" selected="0">
            <x v="1"/>
          </reference>
          <reference field="3" count="1" selected="0">
            <x v="8"/>
          </reference>
        </references>
      </pivotArea>
    </chartFormat>
    <chartFormat chart="6" format="18">
      <pivotArea type="data" outline="0" fieldPosition="0">
        <references count="2">
          <reference field="4294967294" count="1" selected="0">
            <x v="1"/>
          </reference>
          <reference field="3" count="1" selected="0">
            <x v="19"/>
          </reference>
        </references>
      </pivotArea>
    </chartFormat>
    <chartFormat chart="6" format="19">
      <pivotArea type="data" outline="0" fieldPosition="0">
        <references count="2">
          <reference field="4294967294" count="1" selected="0">
            <x v="1"/>
          </reference>
          <reference field="3" count="1" selected="0">
            <x v="17"/>
          </reference>
        </references>
      </pivotArea>
    </chartFormat>
    <chartFormat chart="6" format="20">
      <pivotArea type="data" outline="0" fieldPosition="0">
        <references count="2">
          <reference field="4294967294" count="1" selected="0">
            <x v="1"/>
          </reference>
          <reference field="3" count="1" selected="0">
            <x v="2"/>
          </reference>
        </references>
      </pivotArea>
    </chartFormat>
    <chartFormat chart="6" format="21">
      <pivotArea type="data" outline="0" fieldPosition="0">
        <references count="2">
          <reference field="4294967294" count="1" selected="0">
            <x v="1"/>
          </reference>
          <reference field="3" count="1" selected="0">
            <x v="9"/>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CF623F-B39D-4696-B3BB-64388A20A618}"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P27:Q33"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Row" showAll="0">
      <items count="21">
        <item x="5"/>
        <item x="16"/>
        <item x="7"/>
        <item x="1"/>
        <item x="10"/>
        <item x="19"/>
        <item x="4"/>
        <item x="3"/>
        <item x="14"/>
        <item x="12"/>
        <item x="17"/>
        <item x="8"/>
        <item x="18"/>
        <item x="2"/>
        <item x="0"/>
        <item x="9"/>
        <item x="11"/>
        <item x="6"/>
        <item x="15"/>
        <item x="13"/>
        <item t="default"/>
      </items>
    </pivotField>
    <pivotField showAll="0"/>
    <pivotField axis="axisRow" showAll="0">
      <items count="6">
        <item sd="0" x="0"/>
        <item sd="0" x="4"/>
        <item sd="0" x="2"/>
        <item sd="0" x="3"/>
        <item sd="0" x="1"/>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items count="7">
        <item sd="0" x="1"/>
        <item sd="0" x="2"/>
        <item sd="0" x="3"/>
        <item sd="0" x="4"/>
        <item x="0"/>
        <item x="5"/>
        <item t="default"/>
      </items>
    </pivotField>
    <pivotField showAll="0">
      <items count="6">
        <item sd="0" x="1"/>
        <item sd="0" x="2"/>
        <item sd="0" x="3"/>
        <item x="0"/>
        <item x="4"/>
        <item t="default"/>
      </items>
    </pivotField>
    <pivotField dragToRow="0" dragToCol="0" dragToPage="0" showAll="0" defaultSubtotal="0"/>
  </pivotFields>
  <rowFields count="2">
    <field x="5"/>
    <field x="3"/>
  </rowFields>
  <rowItems count="6">
    <i>
      <x/>
    </i>
    <i>
      <x v="1"/>
    </i>
    <i>
      <x v="2"/>
    </i>
    <i>
      <x v="3"/>
    </i>
    <i>
      <x v="4"/>
    </i>
    <i t="grand">
      <x/>
    </i>
  </rowItems>
  <colItems count="1">
    <i/>
  </colItems>
  <dataFields count="1">
    <dataField name="Sum of Total Sales" fld="10" baseField="0" baseItem="0"/>
  </dataFields>
  <formats count="22">
    <format dxfId="122">
      <pivotArea type="all" dataOnly="0" outline="0" fieldPosition="0"/>
    </format>
    <format dxfId="121">
      <pivotArea outline="0" collapsedLevelsAreSubtotals="1" fieldPosition="0"/>
    </format>
    <format dxfId="120">
      <pivotArea field="5" type="button" dataOnly="0" labelOnly="1" outline="0" axis="axisRow" fieldPosition="0"/>
    </format>
    <format dxfId="119">
      <pivotArea dataOnly="0" labelOnly="1" fieldPosition="0">
        <references count="1">
          <reference field="5" count="0"/>
        </references>
      </pivotArea>
    </format>
    <format dxfId="118">
      <pivotArea dataOnly="0" labelOnly="1" grandRow="1" outline="0" fieldPosition="0"/>
    </format>
    <format dxfId="117">
      <pivotArea dataOnly="0" labelOnly="1" fieldPosition="0">
        <references count="2">
          <reference field="3" count="0"/>
          <reference field="5" count="1" selected="0">
            <x v="0"/>
          </reference>
        </references>
      </pivotArea>
    </format>
    <format dxfId="116">
      <pivotArea dataOnly="0" labelOnly="1" fieldPosition="0">
        <references count="2">
          <reference field="3" count="0"/>
          <reference field="5" count="1" selected="0">
            <x v="1"/>
          </reference>
        </references>
      </pivotArea>
    </format>
    <format dxfId="115">
      <pivotArea dataOnly="0" labelOnly="1" fieldPosition="0">
        <references count="2">
          <reference field="3" count="0"/>
          <reference field="5" count="1" selected="0">
            <x v="2"/>
          </reference>
        </references>
      </pivotArea>
    </format>
    <format dxfId="114">
      <pivotArea dataOnly="0" labelOnly="1" fieldPosition="0">
        <references count="2">
          <reference field="3" count="19">
            <x v="0"/>
            <x v="1"/>
            <x v="2"/>
            <x v="3"/>
            <x v="4"/>
            <x v="5"/>
            <x v="6"/>
            <x v="7"/>
            <x v="8"/>
            <x v="9"/>
            <x v="10"/>
            <x v="11"/>
            <x v="12"/>
            <x v="13"/>
            <x v="14"/>
            <x v="15"/>
            <x v="16"/>
            <x v="18"/>
            <x v="19"/>
          </reference>
          <reference field="5" count="1" selected="0">
            <x v="3"/>
          </reference>
        </references>
      </pivotArea>
    </format>
    <format dxfId="113">
      <pivotArea dataOnly="0" labelOnly="1" fieldPosition="0">
        <references count="2">
          <reference field="3" count="0"/>
          <reference field="5" count="1" selected="0">
            <x v="4"/>
          </reference>
        </references>
      </pivotArea>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5" type="button" dataOnly="0" labelOnly="1" outline="0" axis="axisRow" fieldPosition="0"/>
    </format>
    <format dxfId="108">
      <pivotArea dataOnly="0" labelOnly="1" fieldPosition="0">
        <references count="1">
          <reference field="5" count="0"/>
        </references>
      </pivotArea>
    </format>
    <format dxfId="107">
      <pivotArea dataOnly="0" labelOnly="1" grandRow="1" outline="0" fieldPosition="0"/>
    </format>
    <format dxfId="106">
      <pivotArea dataOnly="0" labelOnly="1" fieldPosition="0">
        <references count="2">
          <reference field="3" count="0"/>
          <reference field="5" count="1" selected="0">
            <x v="0"/>
          </reference>
        </references>
      </pivotArea>
    </format>
    <format dxfId="105">
      <pivotArea dataOnly="0" labelOnly="1" fieldPosition="0">
        <references count="2">
          <reference field="3" count="0"/>
          <reference field="5" count="1" selected="0">
            <x v="1"/>
          </reference>
        </references>
      </pivotArea>
    </format>
    <format dxfId="104">
      <pivotArea dataOnly="0" labelOnly="1" fieldPosition="0">
        <references count="2">
          <reference field="3" count="0"/>
          <reference field="5" count="1" selected="0">
            <x v="2"/>
          </reference>
        </references>
      </pivotArea>
    </format>
    <format dxfId="103">
      <pivotArea dataOnly="0" labelOnly="1" fieldPosition="0">
        <references count="2">
          <reference field="3" count="19">
            <x v="0"/>
            <x v="1"/>
            <x v="2"/>
            <x v="3"/>
            <x v="4"/>
            <x v="5"/>
            <x v="6"/>
            <x v="7"/>
            <x v="8"/>
            <x v="9"/>
            <x v="10"/>
            <x v="11"/>
            <x v="12"/>
            <x v="13"/>
            <x v="14"/>
            <x v="15"/>
            <x v="16"/>
            <x v="18"/>
            <x v="19"/>
          </reference>
          <reference field="5" count="1" selected="0">
            <x v="3"/>
          </reference>
        </references>
      </pivotArea>
    </format>
    <format dxfId="102">
      <pivotArea dataOnly="0" labelOnly="1" fieldPosition="0">
        <references count="2">
          <reference field="3" count="0"/>
          <reference field="5" count="1" selected="0">
            <x v="4"/>
          </reference>
        </references>
      </pivotArea>
    </format>
    <format dxfId="101">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949EB4-AD73-4E2C-9DF4-CF72B78DDC1B}" name="Total Profit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S4:S5" firstHeaderRow="1" firstDataRow="1" firstDataCol="0"/>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items count="7">
        <item sd="0" x="1"/>
        <item sd="0" x="2"/>
        <item sd="0" x="3"/>
        <item sd="0" x="4"/>
        <item x="0"/>
        <item x="5"/>
        <item t="default"/>
      </items>
    </pivotField>
    <pivotField showAll="0">
      <items count="6">
        <item sd="0" x="1"/>
        <item sd="0" x="2"/>
        <item sd="0" x="3"/>
        <item x="0"/>
        <item x="4"/>
        <item t="default"/>
      </items>
    </pivotField>
    <pivotField dragToRow="0" dragToCol="0" dragToPage="0" showAll="0" defaultSubtotal="0"/>
  </pivotFields>
  <rowItems count="1">
    <i/>
  </rowItems>
  <colItems count="1">
    <i/>
  </colItems>
  <dataFields count="1">
    <dataField name="Sum of Profit" fld="11" baseField="0" baseItem="0"/>
  </dataFields>
  <formats count="6">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CD7501-F155-44FB-9528-1EB54B22088C}" name="Difference between Total Sales Per Region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F4:AH10" firstHeaderRow="0"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6">
        <item sd="0" x="0"/>
        <item sd="0" x="4"/>
        <item sd="0" x="2"/>
        <item sd="0" x="3"/>
        <item sd="0" x="1"/>
        <item t="default" sd="0"/>
      </items>
    </pivotField>
    <pivotField showAll="0"/>
    <pivotField showAll="0"/>
    <pivotField showAll="0"/>
    <pivotField showAll="0"/>
    <pivotField dataField="1" showAll="0"/>
    <pivotField dataField="1" showAll="0"/>
    <pivotField showAll="0"/>
    <pivotField showAll="0">
      <items count="4">
        <item x="0"/>
        <item x="1"/>
        <item x="2"/>
        <item t="default"/>
      </items>
    </pivotField>
    <pivotField showAll="0"/>
    <pivotField showAll="0">
      <items count="7">
        <item sd="0" x="1"/>
        <item sd="0" x="2"/>
        <item sd="0" x="3"/>
        <item sd="0" x="4"/>
        <item x="0"/>
        <item x="5"/>
        <item t="default"/>
      </items>
    </pivotField>
    <pivotField showAll="0">
      <items count="6">
        <item sd="0" x="1"/>
        <item sd="0" x="2"/>
        <item sd="0" x="3"/>
        <item x="0"/>
        <item x="4"/>
        <item t="default"/>
      </items>
    </pivotField>
    <pivotField dragToRow="0" dragToCol="0" dragToPage="0" showAll="0" defaultSubtotal="0"/>
  </pivotFields>
  <rowFields count="1">
    <field x="5"/>
  </rowFields>
  <rowItems count="6">
    <i>
      <x/>
    </i>
    <i>
      <x v="1"/>
    </i>
    <i>
      <x v="2"/>
    </i>
    <i>
      <x v="3"/>
    </i>
    <i>
      <x v="4"/>
    </i>
    <i t="grand">
      <x/>
    </i>
  </rowItems>
  <colFields count="1">
    <field x="-2"/>
  </colFields>
  <colItems count="2">
    <i>
      <x/>
    </i>
    <i i="1">
      <x v="1"/>
    </i>
  </colItems>
  <dataFields count="2">
    <dataField name="Sum of Profit" fld="11" baseField="0" baseItem="0"/>
    <dataField name="Sum of Total Sales" fld="10" baseField="0" baseItem="0"/>
  </dataFields>
  <formats count="10">
    <format dxfId="138">
      <pivotArea type="all" dataOnly="0" outline="0" fieldPosition="0"/>
    </format>
    <format dxfId="137">
      <pivotArea outline="0" collapsedLevelsAreSubtotals="1" fieldPosition="0"/>
    </format>
    <format dxfId="136">
      <pivotArea field="5" type="button" dataOnly="0" labelOnly="1" outline="0" axis="axisRow" fieldPosition="0"/>
    </format>
    <format dxfId="135">
      <pivotArea dataOnly="0" labelOnly="1" fieldPosition="0">
        <references count="1">
          <reference field="5" count="0"/>
        </references>
      </pivotArea>
    </format>
    <format dxfId="134">
      <pivotArea dataOnly="0" labelOnly="1" grandRow="1" outline="0" fieldPosition="0"/>
    </format>
    <format dxfId="133">
      <pivotArea type="all" dataOnly="0" outline="0" fieldPosition="0"/>
    </format>
    <format dxfId="132">
      <pivotArea outline="0" collapsedLevelsAreSubtotals="1" fieldPosition="0"/>
    </format>
    <format dxfId="131">
      <pivotArea field="5" type="button" dataOnly="0" labelOnly="1" outline="0" axis="axisRow" fieldPosition="0"/>
    </format>
    <format dxfId="130">
      <pivotArea dataOnly="0" labelOnly="1" fieldPosition="0">
        <references count="1">
          <reference field="5" count="0"/>
        </references>
      </pivotArea>
    </format>
    <format dxfId="12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023D8B-5C5D-4D8B-82D0-C988846C7417}" name="Total Revenu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H20:H21" firstHeaderRow="1" firstDataRow="1" firstDataCol="0"/>
  <pivotFields count="18">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items count="7">
        <item sd="0" x="1"/>
        <item sd="0" x="2"/>
        <item sd="0" x="3"/>
        <item sd="0" x="4"/>
        <item x="0"/>
        <item x="5"/>
        <item t="default"/>
      </items>
    </pivotField>
    <pivotField showAll="0">
      <items count="6">
        <item sd="0" x="1"/>
        <item sd="0" x="2"/>
        <item sd="0" x="3"/>
        <item x="0"/>
        <item x="4"/>
        <item t="default"/>
      </items>
    </pivotField>
    <pivotField dragToRow="0" dragToCol="0" dragToPage="0" showAll="0" defaultSubtotal="0"/>
  </pivotFields>
  <rowItems count="1">
    <i/>
  </rowItems>
  <colItems count="1">
    <i/>
  </colItems>
  <dataFields count="1">
    <dataField name="Sum of Total Sales" fld="10" baseField="0" baseItem="0"/>
  </dataFields>
  <formats count="6">
    <format dxfId="144">
      <pivotArea type="all" dataOnly="0" outline="0" fieldPosition="0"/>
    </format>
    <format dxfId="143">
      <pivotArea outline="0" collapsedLevelsAreSubtotals="1"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276233-B35C-4723-8BE3-392101D4EC3A}" sourceName="Region">
  <pivotTables>
    <pivotTable tabId="2" name="Total Sales Per Time"/>
    <pivotTable tabId="2" name="Difference between Total Sales Per Regions"/>
    <pivotTable tabId="2" name="Highest Sales Per Store Per Region"/>
    <pivotTable tabId="2" name="Highest Selling Per Gender Per Category"/>
    <pivotTable tabId="2" name="PivotTable6"/>
    <pivotTable tabId="2" name="Regional Highest Profit Per Product"/>
    <pivotTable tabId="2" name="Total Number of Sales"/>
    <pivotTable tabId="2" name="Total Profits"/>
    <pivotTable tabId="2" name="Total Revenue"/>
    <pivotTable tabId="2" name="Total Sales Per Payment Method"/>
    <pivotTable tabId="2" name="PivotTable4"/>
    <pivotTable tabId="2" name="PivotTable5"/>
  </pivotTables>
  <data>
    <tabular pivotCacheId="898694986">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A2079D-F456-43F6-8203-AFEBAC31FB84}" sourceName="Gender">
  <pivotTables>
    <pivotTable tabId="2" name="Total Sales Per Time"/>
    <pivotTable tabId="2" name="Difference between Total Sales Per Regions"/>
    <pivotTable tabId="2" name="Highest Sales Per Store Per Region"/>
    <pivotTable tabId="2" name="Highest Selling Per Gender Per Category"/>
    <pivotTable tabId="2" name="PivotTable6"/>
    <pivotTable tabId="2" name="Regional Highest Profit Per Product"/>
    <pivotTable tabId="2" name="Total Number of Sales"/>
    <pivotTable tabId="2" name="Total Profits"/>
    <pivotTable tabId="2" name="Total Revenue"/>
    <pivotTable tabId="2" name="Total Sales Per Payment Method"/>
    <pivotTable tabId="2" name="PivotTable4"/>
    <pivotTable tabId="2" name="PivotTable5"/>
  </pivotTables>
  <data>
    <tabular pivotCacheId="89869498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791C9D-F5B6-4AE5-808D-ECAE299915AA}" cache="Slicer_Region" caption="Region" style="SlicerStyleDark4" rowHeight="230716"/>
  <slicer name="Gender" xr10:uid="{4E1DEE69-FA5C-45BE-9FE6-DACF6559ECED}" cache="Slicer_Gender" caption="Gender" style="SlicerStyleOther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166C0E-32DC-4065-A1C1-82A33AC402AE}" name="Table1" displayName="Table1" ref="A1:P503" totalsRowShown="0">
  <autoFilter ref="A1:P503" xr:uid="{D6166C0E-32DC-4065-A1C1-82A33AC402AE}"/>
  <tableColumns count="16">
    <tableColumn id="1" xr3:uid="{306ED6C3-BECC-4BF6-88D7-5EBF416C1FB3}" name="Order_ID"/>
    <tableColumn id="2" xr3:uid="{9B0618F5-4A5D-48DA-A5AC-9C4CD09BD701}" name="Order_Date" dataDxfId="148"/>
    <tableColumn id="3" xr3:uid="{1A476ADF-7B81-4DC5-9748-1B36C1730429}" name="SKU"/>
    <tableColumn id="4" xr3:uid="{F3D5594F-F126-4921-AE64-D3295A3B1C02}" name="Product_Name"/>
    <tableColumn id="5" xr3:uid="{05B27F86-E1B2-4CCE-8A6D-FE7232133C66}" name="Category"/>
    <tableColumn id="6" xr3:uid="{9D18F763-3E4C-4502-9524-29307F062F58}" name="Region"/>
    <tableColumn id="7" xr3:uid="{301C09FF-0229-4067-ADD3-75BC8DC4815B}" name="Store_Type"/>
    <tableColumn id="8" xr3:uid="{7FFC6ABD-FFDD-439B-A9FB-4A7381386AE0}" name="Units_Sold"/>
    <tableColumn id="9" xr3:uid="{782B4B9B-2612-44D9-BB71-0515D8C3D8E6}" name="Unit_Price"/>
    <tableColumn id="10" xr3:uid="{0C9C3C11-5274-450E-ACA0-745B1EFAE092}" name="Discount"/>
    <tableColumn id="11" xr3:uid="{5A1375A3-E3C7-4C33-A263-DB54042B0EE4}" name="Revenue"/>
    <tableColumn id="12" xr3:uid="{7E8655F3-3B62-4569-BAEE-C2A0E491F517}" name="Profit"/>
    <tableColumn id="13" xr3:uid="{80D72335-9B18-46ED-8CD5-DC4BF4927D9B}" name="Total Profit"/>
    <tableColumn id="14" xr3:uid="{CABFA667-4BA5-454D-AECC-383F3BAF7672}" name="Customer_Age"/>
    <tableColumn id="15" xr3:uid="{84BB7109-3F55-4673-8A6E-9F92ABACC074}" name="Gender"/>
    <tableColumn id="16" xr3:uid="{B1F9FEB3-AF8E-417C-B557-817383C8FC58}" name="Payment_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84EBD2-F4C1-4646-B906-C3C27AE4B72B}" name="Table2" displayName="Table2" ref="A1:P503" totalsRowShown="0">
  <autoFilter ref="A1:P503" xr:uid="{4484EBD2-F4C1-4646-B906-C3C27AE4B72B}"/>
  <tableColumns count="16">
    <tableColumn id="1" xr3:uid="{81FFBA9A-F3A2-4F4C-B212-16CE60EEE4B0}" name="Order_ID"/>
    <tableColumn id="2" xr3:uid="{6B0ED567-A1E2-431A-B272-F03A36B3FA67}" name="Order_Date" dataDxfId="147"/>
    <tableColumn id="3" xr3:uid="{EBBB237B-F764-454D-966D-F26912A2BEAD}" name="SKU"/>
    <tableColumn id="4" xr3:uid="{13118FCD-9A74-475A-8248-F92EE2839C43}" name="Product_Name"/>
    <tableColumn id="5" xr3:uid="{4AB0114F-943E-4FC1-AB07-F9375BD8F851}" name="Category"/>
    <tableColumn id="6" xr3:uid="{8CA3A99C-87FD-4DA6-943C-E3F0958F8E38}" name="Region"/>
    <tableColumn id="7" xr3:uid="{BD1FAB22-5198-46B0-9856-2AF3A9E83484}" name="Store_Type"/>
    <tableColumn id="8" xr3:uid="{F22C906A-9994-4AA6-A8F9-D0AC20B5E9E0}" name="Units_Sold"/>
    <tableColumn id="9" xr3:uid="{3D66D709-1341-4A09-B7A4-C792BEC23644}" name="Unit_Price"/>
    <tableColumn id="10" xr3:uid="{642FC34E-39A6-4656-90E7-252E2B2C9718}" name="Discount"/>
    <tableColumn id="11" xr3:uid="{88CD915B-EC09-42DC-ADC7-3EA8B9F4197D}" name="Revenue"/>
    <tableColumn id="12" xr3:uid="{DB58A3EF-4777-4719-992F-F035E375AE1C}" name="Profit"/>
    <tableColumn id="13" xr3:uid="{9E19A85B-8D20-41DA-BD94-BA30D2FAB15D}" name="Total Profit"/>
    <tableColumn id="14" xr3:uid="{FDEB4A5C-CCB2-4449-B43E-F04F6B3BA196}" name="Customer_Age"/>
    <tableColumn id="15" xr3:uid="{E8553568-3352-4889-B799-0E70D11FEF0A}" name="Gender"/>
    <tableColumn id="16" xr3:uid="{1E8341AD-0100-4BCC-B303-0B1969072740}" name="Payment_Metho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5A3249-3C20-4C33-9D63-D4992BB8937C}" name="Table3" displayName="Table3" ref="A1:P503" totalsRowShown="0">
  <autoFilter ref="A1:P503" xr:uid="{475A3249-3C20-4C33-9D63-D4992BB8937C}"/>
  <tableColumns count="16">
    <tableColumn id="1" xr3:uid="{2969CDD4-90C5-453E-8C93-578E6F7A4685}" name="Order_ID"/>
    <tableColumn id="2" xr3:uid="{D2DE7F09-3D14-4D65-98D3-A9C83D0F6BC4}" name="Order_Date" dataDxfId="146"/>
    <tableColumn id="3" xr3:uid="{E4AD8979-3F6A-425F-8ECF-A0BC67651434}" name="SKU"/>
    <tableColumn id="4" xr3:uid="{FFB2518A-8B70-4551-BAB6-7F47FF6BDD72}" name="Product_Name"/>
    <tableColumn id="5" xr3:uid="{9B3D6B24-50AF-48B7-8C49-7AA854F8AFAB}" name="Category"/>
    <tableColumn id="6" xr3:uid="{3F624493-D591-4915-8C53-4ED526859310}" name="Region"/>
    <tableColumn id="7" xr3:uid="{03629842-0424-4587-802B-E9F26F585978}" name="Store_Type"/>
    <tableColumn id="8" xr3:uid="{0192D0D3-9188-4D18-A777-C50EBEF8E2A5}" name="Units_Sold"/>
    <tableColumn id="9" xr3:uid="{367B9FC3-7365-47CA-ABC6-2E218A485F8A}" name="Unit_Price"/>
    <tableColumn id="10" xr3:uid="{CC0F544A-7515-4283-AD95-C1D1F150AD96}" name="Discount"/>
    <tableColumn id="11" xr3:uid="{DE134BEA-7AF7-435F-A88F-9D5E93F56AFB}" name="Revenue"/>
    <tableColumn id="12" xr3:uid="{D22E6F54-8D0E-4624-9E4C-37494136765A}" name="Profit"/>
    <tableColumn id="13" xr3:uid="{038BCB02-FF64-4546-9D67-E94907AEB51F}" name="Total Profit"/>
    <tableColumn id="14" xr3:uid="{55F58FF9-5951-46BA-901D-16006825C552}" name="Customer_Age"/>
    <tableColumn id="15" xr3:uid="{E7A265EA-7A9D-4BED-8E78-7045C276684A}" name="Gender"/>
    <tableColumn id="16" xr3:uid="{643AD018-8820-4D12-817E-3C5C1841795B}" name="Payment_Metho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041D09-9C5E-4055-BC15-0BBF1364F568}" name="Table4" displayName="Table4" ref="A1:P152" totalsRowShown="0">
  <autoFilter ref="A1:P152" xr:uid="{1F041D09-9C5E-4055-BC15-0BBF1364F568}"/>
  <tableColumns count="16">
    <tableColumn id="1" xr3:uid="{1D6E97B2-6C97-4197-819F-2E6D008B2C55}" name="Order_ID"/>
    <tableColumn id="2" xr3:uid="{F4CFA35D-8020-4D1B-8D24-0807F3412917}" name="Order_Date" dataDxfId="145"/>
    <tableColumn id="3" xr3:uid="{116FF070-9595-4424-9DEA-D7C330290931}" name="SKU"/>
    <tableColumn id="4" xr3:uid="{D6A748B8-8727-4817-A427-6705CA659738}" name="Product_Name"/>
    <tableColumn id="5" xr3:uid="{6FC686FD-FC6C-46AB-A6A5-C0C8A1D8094D}" name="Category"/>
    <tableColumn id="6" xr3:uid="{7E414A2A-95B7-4B0D-9BF9-3443CD439562}" name="Region"/>
    <tableColumn id="7" xr3:uid="{3501DEDE-7771-4598-A458-155FB68E2163}" name="Store_Type"/>
    <tableColumn id="8" xr3:uid="{A2DA7EC0-5B1B-413B-8647-24A28C37285F}" name="Units_Sold"/>
    <tableColumn id="9" xr3:uid="{C6B3D66E-F4B0-467F-942A-701CA24B474C}" name="Unit_Price"/>
    <tableColumn id="10" xr3:uid="{A31942D9-A8B5-4308-874F-BA3FC67FD89C}" name="Discount"/>
    <tableColumn id="11" xr3:uid="{5AAAD9C6-EE89-4BBF-922D-B3F7E67D2E53}" name="Revenue"/>
    <tableColumn id="12" xr3:uid="{513499D4-B2CA-4E60-A8F0-E2A8153EEDCE}" name="Profit"/>
    <tableColumn id="13" xr3:uid="{360EE482-9BE0-4BF7-8D0A-883A367E1684}" name="Total Profit"/>
    <tableColumn id="14" xr3:uid="{0AE8321E-3554-4EF3-987C-FC5C8465968B}" name="Customer_Age"/>
    <tableColumn id="15" xr3:uid="{4F180F9A-AAEA-4F58-A1E1-9E6475E9A6EA}" name="Gender"/>
    <tableColumn id="16" xr3:uid="{09B3FC47-4D1E-45B6-923C-2B9C99A07C88}" name="Payment_Metho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C56B3D-6336-4F15-8850-D4B144FD088A}" name="Table5" displayName="Table5" ref="K44:N55" totalsRowShown="0" headerRowDxfId="8" dataDxfId="6" headerRowBorderDxfId="7" tableBorderDxfId="5" totalsRowBorderDxfId="4">
  <autoFilter ref="K44:N55" xr:uid="{FFC56B3D-6336-4F15-8850-D4B144FD088A}"/>
  <sortState xmlns:xlrd2="http://schemas.microsoft.com/office/spreadsheetml/2017/richdata2" ref="K45:N55">
    <sortCondition descending="1" ref="L44:L55"/>
  </sortState>
  <tableColumns count="4">
    <tableColumn id="1" xr3:uid="{F23AB181-4917-49A1-A8F3-89FA9F1B15BA}" name="Products" dataDxfId="3"/>
    <tableColumn id="2" xr3:uid="{B6133CF4-105C-41F4-B7A9-29F199817EE4}" name="Total Sales" dataDxfId="2" dataCellStyle="Comma"/>
    <tableColumn id="3" xr3:uid="{BDB4323A-B520-4F0B-A66F-9F0AB757615D}" name="Product Sales %" dataDxfId="1" dataCellStyle="Percent">
      <calculatedColumnFormula>L45/L$55</calculatedColumnFormula>
    </tableColumn>
    <tableColumn id="4" xr3:uid="{71AD85A5-E5C2-4022-8A9F-F77E60338EBC}" name="Cumulative %" dataDxfId="0" dataCellStyle="Percent">
      <calculatedColumnFormula>M45+N44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181CB3F-69AE-4956-840B-591D1B6D42CF}" sourceName="Order_Date">
  <pivotTables>
    <pivotTable tabId="2" name="Total Sales Per Time"/>
    <pivotTable tabId="2" name="Difference between Total Sales Per Regions"/>
    <pivotTable tabId="2" name="Highest Sales Per Store Per Region"/>
    <pivotTable tabId="2" name="Highest Selling Per Gender Per Category"/>
    <pivotTable tabId="2" name="PivotTable6"/>
    <pivotTable tabId="2" name="Regional Highest Profit Per Product"/>
    <pivotTable tabId="2" name="Total Number of Sales"/>
    <pivotTable tabId="2" name="Total Profits"/>
    <pivotTable tabId="2" name="Total Revenue"/>
    <pivotTable tabId="2" name="Total Sales Per Payment Method"/>
    <pivotTable tabId="2" name="PivotTable4"/>
    <pivotTable tabId="2" name="PivotTable5"/>
  </pivotTables>
  <state minimalRefreshVersion="6" lastRefreshVersion="6" pivotCacheId="898694986"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7DDE1A5-0FAE-4B41-8B50-1FF8B07F610C}" cache="NativeTimeline_Order_Date" caption="Sales Per Years" level="0" selectionLevel="0" scrollPosition="2023-01-01T00:00:00"/>
  <timeline name="Order_Date 1" xr10:uid="{4EB97687-3E22-47D0-9254-3DD139C57F5E}" cache="NativeTimeline_Order_Date" caption="Sales Per Quarter" level="1" selectionLevel="1"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P1201"/>
  <sheetViews>
    <sheetView zoomScale="85" zoomScaleNormal="85" workbookViewId="0">
      <selection activeCell="C61" sqref="C61"/>
    </sheetView>
  </sheetViews>
  <sheetFormatPr defaultRowHeight="14.25"/>
  <cols>
    <col min="1" max="1" width="24" customWidth="1"/>
    <col min="2" max="2" width="24" style="4" customWidth="1"/>
    <col min="3" max="3" width="24" customWidth="1"/>
    <col min="4" max="4" width="39.75" customWidth="1"/>
    <col min="5" max="15" width="24" customWidth="1"/>
    <col min="16" max="16" width="10.625" bestFit="1" customWidth="1"/>
  </cols>
  <sheetData>
    <row r="1" spans="1:16" ht="15">
      <c r="A1" s="3" t="s">
        <v>0</v>
      </c>
      <c r="B1" s="5" t="s">
        <v>1</v>
      </c>
      <c r="C1" s="3" t="s">
        <v>2</v>
      </c>
      <c r="D1" s="3" t="s">
        <v>3</v>
      </c>
      <c r="E1" s="3" t="s">
        <v>4</v>
      </c>
      <c r="F1" s="3" t="s">
        <v>5</v>
      </c>
      <c r="G1" s="3" t="s">
        <v>6</v>
      </c>
      <c r="H1" s="3" t="s">
        <v>7</v>
      </c>
      <c r="I1" s="3" t="s">
        <v>8</v>
      </c>
      <c r="J1" s="3" t="s">
        <v>9</v>
      </c>
      <c r="K1" s="3" t="s">
        <v>1261</v>
      </c>
      <c r="L1" s="3" t="s">
        <v>11</v>
      </c>
      <c r="M1" s="3" t="s">
        <v>12</v>
      </c>
      <c r="N1" s="3" t="s">
        <v>13</v>
      </c>
      <c r="O1" s="3" t="s">
        <v>14</v>
      </c>
      <c r="P1" s="3" t="s">
        <v>1248</v>
      </c>
    </row>
    <row r="2" spans="1:16">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c r="P2" t="s">
        <v>1249</v>
      </c>
    </row>
    <row r="3" spans="1:16">
      <c r="A3" s="1">
        <v>100865</v>
      </c>
      <c r="B3" s="2">
        <v>45539</v>
      </c>
      <c r="C3" s="1" t="s">
        <v>21</v>
      </c>
      <c r="D3" s="1" t="s">
        <v>22</v>
      </c>
      <c r="E3" s="1" t="s">
        <v>17</v>
      </c>
      <c r="F3" s="1" t="s">
        <v>1238</v>
      </c>
      <c r="G3" s="1" t="s">
        <v>18</v>
      </c>
      <c r="H3" s="1">
        <v>2</v>
      </c>
      <c r="I3" s="1">
        <v>27.07</v>
      </c>
      <c r="J3" s="1">
        <v>0</v>
      </c>
      <c r="K3" s="1">
        <v>54.14</v>
      </c>
      <c r="L3" s="1">
        <v>11.35</v>
      </c>
      <c r="M3" s="1">
        <v>48</v>
      </c>
      <c r="N3" s="1" t="s">
        <v>19</v>
      </c>
      <c r="O3" s="1" t="s">
        <v>20</v>
      </c>
      <c r="P3" t="s">
        <v>1250</v>
      </c>
    </row>
    <row r="4" spans="1:16">
      <c r="A4" s="1">
        <v>100101</v>
      </c>
      <c r="B4" s="2">
        <v>45559</v>
      </c>
      <c r="C4" s="1" t="s">
        <v>23</v>
      </c>
      <c r="D4" s="1" t="s">
        <v>24</v>
      </c>
      <c r="E4" s="1" t="s">
        <v>25</v>
      </c>
      <c r="F4" s="1" t="s">
        <v>1237</v>
      </c>
      <c r="G4" s="1" t="s">
        <v>18</v>
      </c>
      <c r="H4" s="1">
        <v>3</v>
      </c>
      <c r="I4" s="1">
        <v>96.58</v>
      </c>
      <c r="J4" s="1">
        <v>20</v>
      </c>
      <c r="K4" s="1">
        <v>231.79</v>
      </c>
      <c r="L4" s="1">
        <v>61.86</v>
      </c>
      <c r="M4" s="1">
        <v>34</v>
      </c>
      <c r="N4" s="1" t="s">
        <v>26</v>
      </c>
      <c r="O4" s="1" t="s">
        <v>27</v>
      </c>
      <c r="P4" t="s">
        <v>1251</v>
      </c>
    </row>
    <row r="5" spans="1:16">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6">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6">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6">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6">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6">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6">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6">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6">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6">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6">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6">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autoFilter ref="A1:O1201" xr:uid="{2F32FF2C-822D-4AEB-8D68-84B1E86E452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4C625-0F63-44D4-A6A7-7BC425897566}">
  <dimension ref="A1:P503"/>
  <sheetViews>
    <sheetView workbookViewId="0">
      <selection sqref="A1:P503"/>
    </sheetView>
  </sheetViews>
  <sheetFormatPr defaultRowHeight="14.25"/>
  <cols>
    <col min="1" max="1" width="10.125" customWidth="1"/>
    <col min="2" max="2" width="12.375" customWidth="1"/>
    <col min="4" max="4" width="15.25" customWidth="1"/>
    <col min="5" max="5" width="10.25" customWidth="1"/>
    <col min="7" max="7" width="12.375" customWidth="1"/>
    <col min="8" max="8" width="11.875" customWidth="1"/>
    <col min="9" max="9" width="11.375" customWidth="1"/>
    <col min="10" max="11" width="10.125" customWidth="1"/>
    <col min="13" max="13" width="12" customWidth="1"/>
    <col min="14" max="14" width="15.25" customWidth="1"/>
    <col min="15" max="15" width="8.875" customWidth="1"/>
    <col min="16" max="16" width="17.25" customWidth="1"/>
  </cols>
  <sheetData>
    <row r="1" spans="1:16">
      <c r="A1" t="s">
        <v>0</v>
      </c>
      <c r="B1" t="s">
        <v>1</v>
      </c>
      <c r="C1" t="s">
        <v>2</v>
      </c>
      <c r="D1" t="s">
        <v>3</v>
      </c>
      <c r="E1" t="s">
        <v>4</v>
      </c>
      <c r="F1" t="s">
        <v>5</v>
      </c>
      <c r="G1" t="s">
        <v>6</v>
      </c>
      <c r="H1" t="s">
        <v>7</v>
      </c>
      <c r="I1" t="s">
        <v>8</v>
      </c>
      <c r="J1" t="s">
        <v>9</v>
      </c>
      <c r="K1" t="s">
        <v>10</v>
      </c>
      <c r="L1" t="s">
        <v>11</v>
      </c>
      <c r="M1" t="s">
        <v>1252</v>
      </c>
      <c r="N1" t="s">
        <v>12</v>
      </c>
      <c r="O1" t="s">
        <v>13</v>
      </c>
      <c r="P1" t="s">
        <v>14</v>
      </c>
    </row>
    <row r="2" spans="1:16">
      <c r="A2">
        <v>101126</v>
      </c>
      <c r="B2" s="4">
        <v>45875</v>
      </c>
      <c r="C2" t="s">
        <v>1236</v>
      </c>
      <c r="D2" t="s">
        <v>87</v>
      </c>
      <c r="E2" t="s">
        <v>25</v>
      </c>
      <c r="F2" t="s">
        <v>1241</v>
      </c>
      <c r="G2" t="s">
        <v>18</v>
      </c>
      <c r="H2">
        <v>6</v>
      </c>
      <c r="I2">
        <v>72.03</v>
      </c>
      <c r="J2">
        <v>20</v>
      </c>
      <c r="K2">
        <v>345.74</v>
      </c>
      <c r="L2">
        <v>94.24</v>
      </c>
      <c r="M2">
        <v>565.43999999999994</v>
      </c>
      <c r="N2">
        <v>31</v>
      </c>
      <c r="O2" t="s">
        <v>26</v>
      </c>
      <c r="P2" t="s">
        <v>35</v>
      </c>
    </row>
    <row r="3" spans="1:16">
      <c r="A3">
        <v>100860</v>
      </c>
      <c r="B3" s="4">
        <v>45172</v>
      </c>
      <c r="C3" t="s">
        <v>1235</v>
      </c>
      <c r="D3" t="s">
        <v>100</v>
      </c>
      <c r="E3" t="s">
        <v>25</v>
      </c>
      <c r="F3" t="s">
        <v>1238</v>
      </c>
      <c r="G3" t="s">
        <v>31</v>
      </c>
      <c r="H3">
        <v>4</v>
      </c>
      <c r="I3">
        <v>142.77000000000001</v>
      </c>
      <c r="J3">
        <v>0</v>
      </c>
      <c r="K3">
        <v>571.08000000000004</v>
      </c>
      <c r="L3">
        <v>170.99</v>
      </c>
      <c r="M3">
        <v>683.96</v>
      </c>
      <c r="N3">
        <v>40</v>
      </c>
      <c r="O3" t="s">
        <v>26</v>
      </c>
      <c r="P3" t="s">
        <v>27</v>
      </c>
    </row>
    <row r="4" spans="1:16">
      <c r="A4">
        <v>100101</v>
      </c>
      <c r="B4" s="4">
        <v>45559</v>
      </c>
      <c r="C4" t="s">
        <v>23</v>
      </c>
      <c r="D4" t="s">
        <v>24</v>
      </c>
      <c r="E4" t="s">
        <v>25</v>
      </c>
      <c r="F4" t="s">
        <v>1237</v>
      </c>
      <c r="G4" t="s">
        <v>18</v>
      </c>
      <c r="H4">
        <v>3</v>
      </c>
      <c r="I4">
        <v>96.58</v>
      </c>
      <c r="J4">
        <v>20</v>
      </c>
      <c r="K4">
        <v>231.79</v>
      </c>
      <c r="L4">
        <v>61.86</v>
      </c>
      <c r="M4">
        <v>185.57999999999998</v>
      </c>
      <c r="N4">
        <v>34</v>
      </c>
      <c r="O4" t="s">
        <v>26</v>
      </c>
      <c r="P4" t="s">
        <v>27</v>
      </c>
    </row>
    <row r="5" spans="1:16">
      <c r="A5">
        <v>101130</v>
      </c>
      <c r="B5" s="4">
        <v>45096</v>
      </c>
      <c r="C5" t="s">
        <v>1234</v>
      </c>
      <c r="D5" t="s">
        <v>73</v>
      </c>
      <c r="E5" t="s">
        <v>25</v>
      </c>
      <c r="F5" t="s">
        <v>1238</v>
      </c>
      <c r="G5" t="s">
        <v>48</v>
      </c>
      <c r="H5">
        <v>3</v>
      </c>
      <c r="I5">
        <v>31</v>
      </c>
      <c r="J5">
        <v>0</v>
      </c>
      <c r="K5">
        <v>93</v>
      </c>
      <c r="L5">
        <v>28.22</v>
      </c>
      <c r="M5">
        <v>84.66</v>
      </c>
      <c r="N5">
        <v>34</v>
      </c>
      <c r="O5" t="s">
        <v>26</v>
      </c>
      <c r="P5" t="s">
        <v>20</v>
      </c>
    </row>
    <row r="6" spans="1:16">
      <c r="A6">
        <v>101044</v>
      </c>
      <c r="B6" s="4">
        <v>45640</v>
      </c>
      <c r="C6" t="s">
        <v>1232</v>
      </c>
      <c r="D6" t="s">
        <v>68</v>
      </c>
      <c r="E6" t="s">
        <v>25</v>
      </c>
      <c r="F6" t="s">
        <v>1240</v>
      </c>
      <c r="G6" t="s">
        <v>18</v>
      </c>
      <c r="H6">
        <v>2</v>
      </c>
      <c r="I6">
        <v>220.12</v>
      </c>
      <c r="J6">
        <v>5</v>
      </c>
      <c r="K6">
        <v>418.23</v>
      </c>
      <c r="L6">
        <v>108.68</v>
      </c>
      <c r="M6">
        <v>217.36</v>
      </c>
      <c r="N6">
        <v>36</v>
      </c>
      <c r="O6" t="s">
        <v>19</v>
      </c>
      <c r="P6" t="s">
        <v>51</v>
      </c>
    </row>
    <row r="7" spans="1:16">
      <c r="A7">
        <v>100330</v>
      </c>
      <c r="B7" s="4">
        <v>45262</v>
      </c>
      <c r="C7" t="s">
        <v>1229</v>
      </c>
      <c r="D7" t="s">
        <v>24</v>
      </c>
      <c r="E7" t="s">
        <v>25</v>
      </c>
      <c r="F7" t="s">
        <v>1241</v>
      </c>
      <c r="G7" t="s">
        <v>18</v>
      </c>
      <c r="H7">
        <v>4</v>
      </c>
      <c r="I7">
        <v>95.63</v>
      </c>
      <c r="J7">
        <v>0</v>
      </c>
      <c r="K7">
        <v>382.52</v>
      </c>
      <c r="L7">
        <v>105.82</v>
      </c>
      <c r="M7">
        <v>423.28</v>
      </c>
      <c r="N7">
        <v>32</v>
      </c>
      <c r="O7" t="s">
        <v>19</v>
      </c>
      <c r="P7" t="s">
        <v>20</v>
      </c>
    </row>
    <row r="8" spans="1:16">
      <c r="A8">
        <v>100323</v>
      </c>
      <c r="B8" s="4">
        <v>45049</v>
      </c>
      <c r="C8" t="s">
        <v>38</v>
      </c>
      <c r="D8" t="s">
        <v>39</v>
      </c>
      <c r="E8" t="s">
        <v>25</v>
      </c>
      <c r="F8" t="s">
        <v>1237</v>
      </c>
      <c r="G8" t="s">
        <v>18</v>
      </c>
      <c r="H8">
        <v>4</v>
      </c>
      <c r="I8">
        <v>182.16</v>
      </c>
      <c r="J8">
        <v>0</v>
      </c>
      <c r="K8">
        <v>728.64</v>
      </c>
      <c r="L8">
        <v>227.81</v>
      </c>
      <c r="M8">
        <v>911.24</v>
      </c>
      <c r="N8">
        <v>29</v>
      </c>
      <c r="O8" t="s">
        <v>19</v>
      </c>
      <c r="P8" t="s">
        <v>20</v>
      </c>
    </row>
    <row r="9" spans="1:16">
      <c r="A9">
        <v>100087</v>
      </c>
      <c r="B9" s="4">
        <v>45708</v>
      </c>
      <c r="C9" t="s">
        <v>1228</v>
      </c>
      <c r="D9" t="s">
        <v>42</v>
      </c>
      <c r="E9" t="s">
        <v>25</v>
      </c>
      <c r="F9" t="s">
        <v>1237</v>
      </c>
      <c r="G9" t="s">
        <v>48</v>
      </c>
      <c r="H9">
        <v>2</v>
      </c>
      <c r="I9">
        <v>149.85</v>
      </c>
      <c r="J9">
        <v>5</v>
      </c>
      <c r="K9">
        <v>284.70999999999998</v>
      </c>
      <c r="L9">
        <v>83.89</v>
      </c>
      <c r="M9">
        <v>167.78</v>
      </c>
      <c r="N9">
        <v>21</v>
      </c>
      <c r="O9" t="s">
        <v>26</v>
      </c>
      <c r="P9" t="s">
        <v>32</v>
      </c>
    </row>
    <row r="10" spans="1:16">
      <c r="A10">
        <v>100411</v>
      </c>
      <c r="B10" s="4">
        <v>45229</v>
      </c>
      <c r="C10" t="s">
        <v>41</v>
      </c>
      <c r="D10" t="s">
        <v>42</v>
      </c>
      <c r="E10" t="s">
        <v>25</v>
      </c>
      <c r="F10" t="s">
        <v>1238</v>
      </c>
      <c r="G10" t="s">
        <v>18</v>
      </c>
      <c r="H10">
        <v>3</v>
      </c>
      <c r="I10">
        <v>152.09</v>
      </c>
      <c r="J10">
        <v>10</v>
      </c>
      <c r="K10">
        <v>410.64</v>
      </c>
      <c r="L10">
        <v>93.96</v>
      </c>
      <c r="M10">
        <v>281.88</v>
      </c>
      <c r="N10">
        <v>27</v>
      </c>
      <c r="O10" t="s">
        <v>19</v>
      </c>
      <c r="P10" t="s">
        <v>43</v>
      </c>
    </row>
    <row r="11" spans="1:16">
      <c r="A11">
        <v>101123</v>
      </c>
      <c r="B11" s="4">
        <v>45861</v>
      </c>
      <c r="C11" t="s">
        <v>1227</v>
      </c>
      <c r="D11" t="s">
        <v>73</v>
      </c>
      <c r="E11" t="s">
        <v>25</v>
      </c>
      <c r="F11" t="s">
        <v>1238</v>
      </c>
      <c r="G11" t="s">
        <v>18</v>
      </c>
      <c r="H11">
        <v>3</v>
      </c>
      <c r="I11">
        <v>33.9</v>
      </c>
      <c r="J11">
        <v>5</v>
      </c>
      <c r="K11">
        <v>96.61</v>
      </c>
      <c r="L11">
        <v>33.520000000000003</v>
      </c>
      <c r="M11">
        <v>100.56</v>
      </c>
      <c r="N11">
        <v>20</v>
      </c>
      <c r="O11" t="s">
        <v>26</v>
      </c>
      <c r="P11" t="s">
        <v>27</v>
      </c>
    </row>
    <row r="12" spans="1:16">
      <c r="A12">
        <v>100871</v>
      </c>
      <c r="B12" s="4">
        <v>45774</v>
      </c>
      <c r="C12" t="s">
        <v>1226</v>
      </c>
      <c r="D12" t="s">
        <v>100</v>
      </c>
      <c r="E12" t="s">
        <v>25</v>
      </c>
      <c r="F12" t="s">
        <v>1241</v>
      </c>
      <c r="G12" t="s">
        <v>31</v>
      </c>
      <c r="H12">
        <v>5</v>
      </c>
      <c r="I12">
        <v>127.61</v>
      </c>
      <c r="J12">
        <v>5</v>
      </c>
      <c r="K12">
        <v>606.15</v>
      </c>
      <c r="L12">
        <v>149.27000000000001</v>
      </c>
      <c r="M12">
        <v>746.35</v>
      </c>
      <c r="N12">
        <v>30</v>
      </c>
      <c r="O12" t="s">
        <v>19</v>
      </c>
      <c r="P12" t="s">
        <v>81</v>
      </c>
    </row>
    <row r="13" spans="1:16">
      <c r="A13">
        <v>100769</v>
      </c>
      <c r="B13" s="4">
        <v>45643</v>
      </c>
      <c r="C13" t="s">
        <v>1224</v>
      </c>
      <c r="D13" t="s">
        <v>87</v>
      </c>
      <c r="E13" t="s">
        <v>25</v>
      </c>
      <c r="F13" t="s">
        <v>1238</v>
      </c>
      <c r="G13" t="s">
        <v>31</v>
      </c>
      <c r="H13">
        <v>3</v>
      </c>
      <c r="I13">
        <v>79.709999999999994</v>
      </c>
      <c r="J13">
        <v>5</v>
      </c>
      <c r="K13">
        <v>227.17</v>
      </c>
      <c r="L13">
        <v>58.6</v>
      </c>
      <c r="M13">
        <v>175.8</v>
      </c>
      <c r="N13">
        <v>35</v>
      </c>
      <c r="O13" t="s">
        <v>19</v>
      </c>
      <c r="P13" t="s">
        <v>35</v>
      </c>
    </row>
    <row r="14" spans="1:16">
      <c r="A14">
        <v>100343</v>
      </c>
      <c r="B14" s="4">
        <v>45866</v>
      </c>
      <c r="C14" t="s">
        <v>1223</v>
      </c>
      <c r="D14" t="s">
        <v>24</v>
      </c>
      <c r="E14" t="s">
        <v>25</v>
      </c>
      <c r="F14" t="s">
        <v>1241</v>
      </c>
      <c r="G14" t="s">
        <v>48</v>
      </c>
      <c r="H14">
        <v>2</v>
      </c>
      <c r="I14">
        <v>96.12</v>
      </c>
      <c r="J14">
        <v>10</v>
      </c>
      <c r="K14">
        <v>173.02</v>
      </c>
      <c r="L14">
        <v>65.849999999999994</v>
      </c>
      <c r="M14">
        <v>131.69999999999999</v>
      </c>
      <c r="N14">
        <v>37</v>
      </c>
      <c r="O14" t="s">
        <v>26</v>
      </c>
      <c r="P14" t="s">
        <v>35</v>
      </c>
    </row>
    <row r="15" spans="1:16">
      <c r="A15">
        <v>100385</v>
      </c>
      <c r="B15" s="4">
        <v>45427</v>
      </c>
      <c r="C15" t="s">
        <v>1221</v>
      </c>
      <c r="D15" t="s">
        <v>100</v>
      </c>
      <c r="E15" t="s">
        <v>25</v>
      </c>
      <c r="F15" t="s">
        <v>1240</v>
      </c>
      <c r="G15" t="s">
        <v>31</v>
      </c>
      <c r="H15">
        <v>3</v>
      </c>
      <c r="I15">
        <v>130.16</v>
      </c>
      <c r="J15">
        <v>5</v>
      </c>
      <c r="K15">
        <v>370.96</v>
      </c>
      <c r="L15">
        <v>126.59</v>
      </c>
      <c r="M15">
        <v>379.77</v>
      </c>
      <c r="N15">
        <v>23</v>
      </c>
      <c r="O15" t="s">
        <v>19</v>
      </c>
      <c r="P15" t="s">
        <v>43</v>
      </c>
    </row>
    <row r="16" spans="1:16">
      <c r="A16">
        <v>100747</v>
      </c>
      <c r="B16" s="4">
        <v>45828</v>
      </c>
      <c r="C16" t="s">
        <v>1215</v>
      </c>
      <c r="D16" t="s">
        <v>87</v>
      </c>
      <c r="E16" t="s">
        <v>25</v>
      </c>
      <c r="F16" t="s">
        <v>1238</v>
      </c>
      <c r="G16" t="s">
        <v>18</v>
      </c>
      <c r="H16">
        <v>2</v>
      </c>
      <c r="I16">
        <v>82.82</v>
      </c>
      <c r="J16">
        <v>5</v>
      </c>
      <c r="K16">
        <v>157.36000000000001</v>
      </c>
      <c r="L16">
        <v>60.14</v>
      </c>
      <c r="M16">
        <v>120.28</v>
      </c>
      <c r="N16">
        <v>32</v>
      </c>
      <c r="O16" t="s">
        <v>26</v>
      </c>
      <c r="P16" t="s">
        <v>81</v>
      </c>
    </row>
    <row r="17" spans="1:16">
      <c r="A17">
        <v>101082</v>
      </c>
      <c r="B17" s="4">
        <v>44993</v>
      </c>
      <c r="C17" t="s">
        <v>1212</v>
      </c>
      <c r="D17" t="s">
        <v>73</v>
      </c>
      <c r="E17" t="s">
        <v>25</v>
      </c>
      <c r="F17" t="s">
        <v>1237</v>
      </c>
      <c r="G17" t="s">
        <v>18</v>
      </c>
      <c r="H17">
        <v>2</v>
      </c>
      <c r="I17">
        <v>36.950000000000003</v>
      </c>
      <c r="J17">
        <v>0</v>
      </c>
      <c r="K17">
        <v>73.900000000000006</v>
      </c>
      <c r="L17">
        <v>19.079999999999998</v>
      </c>
      <c r="M17">
        <v>38.159999999999997</v>
      </c>
      <c r="N17">
        <v>33</v>
      </c>
      <c r="O17" t="s">
        <v>19</v>
      </c>
      <c r="P17" t="s">
        <v>81</v>
      </c>
    </row>
    <row r="18" spans="1:16">
      <c r="A18">
        <v>100975</v>
      </c>
      <c r="B18" s="4">
        <v>45548</v>
      </c>
      <c r="C18" t="s">
        <v>1209</v>
      </c>
      <c r="D18" t="s">
        <v>73</v>
      </c>
      <c r="E18" t="s">
        <v>25</v>
      </c>
      <c r="F18" t="s">
        <v>1239</v>
      </c>
      <c r="G18" t="s">
        <v>48</v>
      </c>
      <c r="H18">
        <v>4</v>
      </c>
      <c r="I18">
        <v>37.32</v>
      </c>
      <c r="J18">
        <v>0</v>
      </c>
      <c r="K18">
        <v>149.28</v>
      </c>
      <c r="L18">
        <v>45.58</v>
      </c>
      <c r="M18">
        <v>182.32</v>
      </c>
      <c r="N18">
        <v>21</v>
      </c>
      <c r="O18" t="s">
        <v>19</v>
      </c>
      <c r="P18" t="s">
        <v>81</v>
      </c>
    </row>
    <row r="19" spans="1:16">
      <c r="A19">
        <v>100189</v>
      </c>
      <c r="B19" s="4">
        <v>45553</v>
      </c>
      <c r="C19" t="s">
        <v>1208</v>
      </c>
      <c r="D19" t="s">
        <v>24</v>
      </c>
      <c r="E19" t="s">
        <v>25</v>
      </c>
      <c r="F19" t="s">
        <v>1238</v>
      </c>
      <c r="G19" t="s">
        <v>31</v>
      </c>
      <c r="H19">
        <v>1</v>
      </c>
      <c r="I19">
        <v>79.48</v>
      </c>
      <c r="J19">
        <v>10</v>
      </c>
      <c r="K19">
        <v>71.53</v>
      </c>
      <c r="L19">
        <v>20.5</v>
      </c>
      <c r="M19">
        <v>20.5</v>
      </c>
      <c r="N19">
        <v>29</v>
      </c>
      <c r="O19" t="s">
        <v>26</v>
      </c>
      <c r="P19" t="s">
        <v>32</v>
      </c>
    </row>
    <row r="20" spans="1:16">
      <c r="A20">
        <v>100686</v>
      </c>
      <c r="B20" s="4">
        <v>45214</v>
      </c>
      <c r="C20" t="s">
        <v>1206</v>
      </c>
      <c r="D20" t="s">
        <v>68</v>
      </c>
      <c r="E20" t="s">
        <v>25</v>
      </c>
      <c r="F20" t="s">
        <v>1238</v>
      </c>
      <c r="G20" t="s">
        <v>18</v>
      </c>
      <c r="H20">
        <v>4</v>
      </c>
      <c r="I20">
        <v>230.61</v>
      </c>
      <c r="J20">
        <v>10</v>
      </c>
      <c r="K20">
        <v>830.2</v>
      </c>
      <c r="L20">
        <v>213.75</v>
      </c>
      <c r="M20">
        <v>855</v>
      </c>
      <c r="N20">
        <v>34</v>
      </c>
      <c r="O20" t="s">
        <v>19</v>
      </c>
      <c r="P20" t="s">
        <v>51</v>
      </c>
    </row>
    <row r="21" spans="1:16">
      <c r="A21">
        <v>100562</v>
      </c>
      <c r="B21" s="4">
        <v>45271</v>
      </c>
      <c r="C21" t="s">
        <v>1204</v>
      </c>
      <c r="D21" t="s">
        <v>24</v>
      </c>
      <c r="E21" t="s">
        <v>25</v>
      </c>
      <c r="F21" t="s">
        <v>1237</v>
      </c>
      <c r="G21" t="s">
        <v>31</v>
      </c>
      <c r="H21">
        <v>3</v>
      </c>
      <c r="I21">
        <v>99.23</v>
      </c>
      <c r="J21">
        <v>5</v>
      </c>
      <c r="K21">
        <v>282.81</v>
      </c>
      <c r="L21">
        <v>65.959999999999994</v>
      </c>
      <c r="M21">
        <v>197.88</v>
      </c>
      <c r="N21">
        <v>33</v>
      </c>
      <c r="O21" t="s">
        <v>26</v>
      </c>
      <c r="P21" t="s">
        <v>32</v>
      </c>
    </row>
    <row r="22" spans="1:16">
      <c r="A22">
        <v>100646</v>
      </c>
      <c r="B22" s="4">
        <v>44941</v>
      </c>
      <c r="C22" t="s">
        <v>1201</v>
      </c>
      <c r="D22" t="s">
        <v>87</v>
      </c>
      <c r="E22" t="s">
        <v>25</v>
      </c>
      <c r="F22" t="s">
        <v>1239</v>
      </c>
      <c r="G22" t="s">
        <v>31</v>
      </c>
      <c r="H22">
        <v>4</v>
      </c>
      <c r="I22">
        <v>86.95</v>
      </c>
      <c r="J22">
        <v>0</v>
      </c>
      <c r="K22">
        <v>347.8</v>
      </c>
      <c r="L22">
        <v>60.89</v>
      </c>
      <c r="M22">
        <v>243.56</v>
      </c>
      <c r="N22">
        <v>24</v>
      </c>
      <c r="O22" t="s">
        <v>19</v>
      </c>
      <c r="P22" t="s">
        <v>43</v>
      </c>
    </row>
    <row r="23" spans="1:16">
      <c r="A23">
        <v>100840</v>
      </c>
      <c r="B23" s="4">
        <v>45701</v>
      </c>
      <c r="C23" t="s">
        <v>1199</v>
      </c>
      <c r="D23" t="s">
        <v>87</v>
      </c>
      <c r="E23" t="s">
        <v>25</v>
      </c>
      <c r="F23" t="s">
        <v>1237</v>
      </c>
      <c r="G23" t="s">
        <v>18</v>
      </c>
      <c r="H23">
        <v>2</v>
      </c>
      <c r="I23">
        <v>79.25</v>
      </c>
      <c r="J23">
        <v>5</v>
      </c>
      <c r="K23">
        <v>150.57</v>
      </c>
      <c r="L23">
        <v>49.34</v>
      </c>
      <c r="M23">
        <v>98.68</v>
      </c>
      <c r="N23">
        <v>33</v>
      </c>
      <c r="O23" t="s">
        <v>26</v>
      </c>
      <c r="P23" t="s">
        <v>51</v>
      </c>
    </row>
    <row r="24" spans="1:16">
      <c r="A24">
        <v>100676</v>
      </c>
      <c r="B24" s="4">
        <v>45635</v>
      </c>
      <c r="C24" t="s">
        <v>67</v>
      </c>
      <c r="D24" t="s">
        <v>68</v>
      </c>
      <c r="E24" t="s">
        <v>25</v>
      </c>
      <c r="F24" t="s">
        <v>1237</v>
      </c>
      <c r="G24" t="s">
        <v>31</v>
      </c>
      <c r="H24">
        <v>3</v>
      </c>
      <c r="I24">
        <v>226.72</v>
      </c>
      <c r="J24">
        <v>20</v>
      </c>
      <c r="K24">
        <v>544.13</v>
      </c>
      <c r="L24">
        <v>140.88999999999999</v>
      </c>
      <c r="M24">
        <v>422.66999999999996</v>
      </c>
      <c r="N24">
        <v>16</v>
      </c>
      <c r="O24" t="s">
        <v>26</v>
      </c>
      <c r="P24" t="s">
        <v>35</v>
      </c>
    </row>
    <row r="25" spans="1:16">
      <c r="A25">
        <v>100344</v>
      </c>
      <c r="B25" s="4">
        <v>45052</v>
      </c>
      <c r="C25" t="s">
        <v>69</v>
      </c>
      <c r="D25" t="s">
        <v>70</v>
      </c>
      <c r="E25" t="s">
        <v>25</v>
      </c>
      <c r="F25" t="s">
        <v>1241</v>
      </c>
      <c r="G25" t="s">
        <v>64</v>
      </c>
      <c r="H25">
        <v>3</v>
      </c>
      <c r="I25">
        <v>146.78</v>
      </c>
      <c r="J25">
        <v>0</v>
      </c>
      <c r="K25">
        <v>440.34</v>
      </c>
      <c r="L25">
        <v>112.48</v>
      </c>
      <c r="M25">
        <v>337.44</v>
      </c>
      <c r="N25">
        <v>42</v>
      </c>
      <c r="O25" t="s">
        <v>26</v>
      </c>
      <c r="P25" t="s">
        <v>32</v>
      </c>
    </row>
    <row r="26" spans="1:16">
      <c r="A26">
        <v>100387</v>
      </c>
      <c r="B26" s="4">
        <v>45620</v>
      </c>
      <c r="C26" t="s">
        <v>1197</v>
      </c>
      <c r="D26" t="s">
        <v>73</v>
      </c>
      <c r="E26" t="s">
        <v>25</v>
      </c>
      <c r="F26" t="s">
        <v>1238</v>
      </c>
      <c r="G26" t="s">
        <v>18</v>
      </c>
      <c r="H26">
        <v>5</v>
      </c>
      <c r="I26">
        <v>37.450000000000003</v>
      </c>
      <c r="J26">
        <v>40</v>
      </c>
      <c r="K26">
        <v>112.35</v>
      </c>
      <c r="L26">
        <v>33.340000000000003</v>
      </c>
      <c r="M26">
        <v>166.70000000000002</v>
      </c>
      <c r="N26">
        <v>45</v>
      </c>
      <c r="O26" t="s">
        <v>19</v>
      </c>
      <c r="P26" t="s">
        <v>81</v>
      </c>
    </row>
    <row r="27" spans="1:16">
      <c r="A27">
        <v>100277</v>
      </c>
      <c r="B27" s="4">
        <v>45892</v>
      </c>
      <c r="C27" t="s">
        <v>72</v>
      </c>
      <c r="D27" t="s">
        <v>73</v>
      </c>
      <c r="E27" t="s">
        <v>25</v>
      </c>
      <c r="F27" t="s">
        <v>1241</v>
      </c>
      <c r="G27" t="s">
        <v>31</v>
      </c>
      <c r="H27">
        <v>4</v>
      </c>
      <c r="I27">
        <v>34.950000000000003</v>
      </c>
      <c r="J27">
        <v>5</v>
      </c>
      <c r="K27">
        <v>132.81</v>
      </c>
      <c r="L27">
        <v>48.4</v>
      </c>
      <c r="M27">
        <v>193.6</v>
      </c>
      <c r="N27">
        <v>26</v>
      </c>
      <c r="O27" t="s">
        <v>19</v>
      </c>
      <c r="P27" t="s">
        <v>32</v>
      </c>
    </row>
    <row r="28" spans="1:16">
      <c r="A28">
        <v>100315</v>
      </c>
      <c r="B28" s="4">
        <v>45249</v>
      </c>
      <c r="C28" t="s">
        <v>1195</v>
      </c>
      <c r="D28" t="s">
        <v>68</v>
      </c>
      <c r="E28" t="s">
        <v>25</v>
      </c>
      <c r="F28" t="s">
        <v>1237</v>
      </c>
      <c r="G28" t="s">
        <v>18</v>
      </c>
      <c r="H28">
        <v>5</v>
      </c>
      <c r="I28">
        <v>230.5</v>
      </c>
      <c r="J28">
        <v>20</v>
      </c>
      <c r="K28">
        <v>922</v>
      </c>
      <c r="L28">
        <v>337.32</v>
      </c>
      <c r="M28">
        <v>1686.6</v>
      </c>
      <c r="N28">
        <v>29</v>
      </c>
      <c r="O28" t="s">
        <v>19</v>
      </c>
      <c r="P28" t="s">
        <v>20</v>
      </c>
    </row>
    <row r="29" spans="1:16">
      <c r="A29">
        <v>100570</v>
      </c>
      <c r="B29" s="4">
        <v>45188</v>
      </c>
      <c r="C29" t="s">
        <v>75</v>
      </c>
      <c r="D29" t="s">
        <v>42</v>
      </c>
      <c r="E29" t="s">
        <v>25</v>
      </c>
      <c r="F29" t="s">
        <v>1241</v>
      </c>
      <c r="G29" t="s">
        <v>31</v>
      </c>
      <c r="H29">
        <v>3</v>
      </c>
      <c r="I29">
        <v>146.31</v>
      </c>
      <c r="J29">
        <v>10</v>
      </c>
      <c r="K29">
        <v>395.04</v>
      </c>
      <c r="L29">
        <v>83.22</v>
      </c>
      <c r="M29">
        <v>249.66</v>
      </c>
      <c r="N29">
        <v>20</v>
      </c>
      <c r="O29" t="s">
        <v>26</v>
      </c>
      <c r="P29" t="s">
        <v>46</v>
      </c>
    </row>
    <row r="30" spans="1:16">
      <c r="A30">
        <v>100013</v>
      </c>
      <c r="B30" s="4">
        <v>45446</v>
      </c>
      <c r="C30" t="s">
        <v>153</v>
      </c>
      <c r="D30" t="s">
        <v>87</v>
      </c>
      <c r="E30" t="s">
        <v>25</v>
      </c>
      <c r="F30" t="s">
        <v>1241</v>
      </c>
      <c r="G30" t="s">
        <v>31</v>
      </c>
      <c r="H30">
        <v>5</v>
      </c>
      <c r="I30">
        <v>76.87</v>
      </c>
      <c r="J30">
        <v>0</v>
      </c>
      <c r="K30">
        <v>384.35</v>
      </c>
      <c r="L30">
        <v>134</v>
      </c>
      <c r="M30">
        <v>670</v>
      </c>
      <c r="N30">
        <v>36</v>
      </c>
      <c r="O30" t="s">
        <v>19</v>
      </c>
      <c r="P30" t="s">
        <v>35</v>
      </c>
    </row>
    <row r="31" spans="1:16">
      <c r="A31">
        <v>100598</v>
      </c>
      <c r="B31" s="4">
        <v>45109</v>
      </c>
      <c r="C31" t="s">
        <v>78</v>
      </c>
      <c r="D31" t="s">
        <v>42</v>
      </c>
      <c r="E31" t="s">
        <v>25</v>
      </c>
      <c r="F31" t="s">
        <v>1237</v>
      </c>
      <c r="G31" t="s">
        <v>31</v>
      </c>
      <c r="H31">
        <v>3</v>
      </c>
      <c r="I31">
        <v>136.5</v>
      </c>
      <c r="J31">
        <v>0</v>
      </c>
      <c r="K31">
        <v>409.5</v>
      </c>
      <c r="L31">
        <v>106.79</v>
      </c>
      <c r="M31">
        <v>320.37</v>
      </c>
      <c r="N31">
        <v>31</v>
      </c>
      <c r="O31" t="s">
        <v>19</v>
      </c>
      <c r="P31" t="s">
        <v>35</v>
      </c>
    </row>
    <row r="32" spans="1:16">
      <c r="A32">
        <v>100241</v>
      </c>
      <c r="B32" s="4">
        <v>45518</v>
      </c>
      <c r="C32" t="s">
        <v>1194</v>
      </c>
      <c r="D32" t="s">
        <v>100</v>
      </c>
      <c r="E32" t="s">
        <v>25</v>
      </c>
      <c r="F32" t="s">
        <v>1237</v>
      </c>
      <c r="G32" t="s">
        <v>18</v>
      </c>
      <c r="H32">
        <v>5</v>
      </c>
      <c r="I32">
        <v>126.81</v>
      </c>
      <c r="J32">
        <v>0</v>
      </c>
      <c r="K32">
        <v>634.04999999999995</v>
      </c>
      <c r="L32">
        <v>155.59</v>
      </c>
      <c r="M32">
        <v>777.95</v>
      </c>
      <c r="N32">
        <v>27</v>
      </c>
      <c r="O32" t="s">
        <v>19</v>
      </c>
      <c r="P32" t="s">
        <v>51</v>
      </c>
    </row>
    <row r="33" spans="1:16">
      <c r="A33">
        <v>100893</v>
      </c>
      <c r="B33" s="4">
        <v>45263</v>
      </c>
      <c r="C33" t="s">
        <v>80</v>
      </c>
      <c r="D33" t="s">
        <v>42</v>
      </c>
      <c r="E33" t="s">
        <v>25</v>
      </c>
      <c r="F33" t="s">
        <v>1239</v>
      </c>
      <c r="G33" t="s">
        <v>48</v>
      </c>
      <c r="H33">
        <v>5</v>
      </c>
      <c r="I33">
        <v>160.34</v>
      </c>
      <c r="J33">
        <v>10</v>
      </c>
      <c r="K33">
        <v>721.53</v>
      </c>
      <c r="L33">
        <v>215.58</v>
      </c>
      <c r="M33">
        <v>1077.9000000000001</v>
      </c>
      <c r="N33">
        <v>39</v>
      </c>
      <c r="O33" t="s">
        <v>26</v>
      </c>
      <c r="P33" t="s">
        <v>81</v>
      </c>
    </row>
    <row r="34" spans="1:16">
      <c r="A34">
        <v>100692</v>
      </c>
      <c r="B34" s="4">
        <v>45171</v>
      </c>
      <c r="C34" t="s">
        <v>82</v>
      </c>
      <c r="D34" t="s">
        <v>24</v>
      </c>
      <c r="E34" t="s">
        <v>25</v>
      </c>
      <c r="F34" t="s">
        <v>1237</v>
      </c>
      <c r="G34" t="s">
        <v>18</v>
      </c>
      <c r="H34">
        <v>3</v>
      </c>
      <c r="I34">
        <v>84.09</v>
      </c>
      <c r="J34">
        <v>10</v>
      </c>
      <c r="K34">
        <v>227.04</v>
      </c>
      <c r="L34">
        <v>53.17</v>
      </c>
      <c r="M34">
        <v>159.51</v>
      </c>
      <c r="N34">
        <v>30</v>
      </c>
      <c r="O34" t="s">
        <v>26</v>
      </c>
      <c r="P34" t="s">
        <v>81</v>
      </c>
    </row>
    <row r="35" spans="1:16">
      <c r="A35">
        <v>100776</v>
      </c>
      <c r="B35" s="4">
        <v>45707</v>
      </c>
      <c r="C35" t="s">
        <v>1193</v>
      </c>
      <c r="D35" t="s">
        <v>70</v>
      </c>
      <c r="E35" t="s">
        <v>25</v>
      </c>
      <c r="F35" t="s">
        <v>1241</v>
      </c>
      <c r="G35" t="s">
        <v>18</v>
      </c>
      <c r="H35">
        <v>3</v>
      </c>
      <c r="I35">
        <v>151.03</v>
      </c>
      <c r="J35">
        <v>0</v>
      </c>
      <c r="K35">
        <v>453.09</v>
      </c>
      <c r="L35">
        <v>119.01</v>
      </c>
      <c r="M35">
        <v>357.03000000000003</v>
      </c>
      <c r="N35">
        <v>31</v>
      </c>
      <c r="O35" t="s">
        <v>19</v>
      </c>
      <c r="P35" t="s">
        <v>81</v>
      </c>
    </row>
    <row r="36" spans="1:16">
      <c r="A36">
        <v>100564</v>
      </c>
      <c r="B36" s="4">
        <v>45175</v>
      </c>
      <c r="C36" t="s">
        <v>1192</v>
      </c>
      <c r="D36" t="s">
        <v>24</v>
      </c>
      <c r="E36" t="s">
        <v>25</v>
      </c>
      <c r="F36" t="s">
        <v>1238</v>
      </c>
      <c r="G36" t="s">
        <v>31</v>
      </c>
      <c r="H36">
        <v>3</v>
      </c>
      <c r="I36">
        <v>83.45</v>
      </c>
      <c r="J36">
        <v>40</v>
      </c>
      <c r="K36">
        <v>150.21</v>
      </c>
      <c r="L36">
        <v>23.79</v>
      </c>
      <c r="M36">
        <v>71.37</v>
      </c>
      <c r="N36">
        <v>33</v>
      </c>
      <c r="O36" t="s">
        <v>19</v>
      </c>
      <c r="P36" t="s">
        <v>27</v>
      </c>
    </row>
    <row r="37" spans="1:16">
      <c r="A37">
        <v>101183</v>
      </c>
      <c r="B37" s="4">
        <v>44995</v>
      </c>
      <c r="C37" t="s">
        <v>1189</v>
      </c>
      <c r="D37" t="s">
        <v>39</v>
      </c>
      <c r="E37" t="s">
        <v>25</v>
      </c>
      <c r="F37" t="s">
        <v>1239</v>
      </c>
      <c r="G37" t="s">
        <v>31</v>
      </c>
      <c r="H37">
        <v>1</v>
      </c>
      <c r="I37">
        <v>196.24</v>
      </c>
      <c r="J37">
        <v>20</v>
      </c>
      <c r="K37">
        <v>156.99</v>
      </c>
      <c r="L37">
        <v>48.09</v>
      </c>
      <c r="M37">
        <v>48.09</v>
      </c>
      <c r="N37">
        <v>36</v>
      </c>
      <c r="O37" t="s">
        <v>26</v>
      </c>
      <c r="P37" t="s">
        <v>27</v>
      </c>
    </row>
    <row r="38" spans="1:16">
      <c r="A38">
        <v>100427</v>
      </c>
      <c r="B38" s="4">
        <v>45043</v>
      </c>
      <c r="C38" t="s">
        <v>86</v>
      </c>
      <c r="D38" t="s">
        <v>87</v>
      </c>
      <c r="E38" t="s">
        <v>25</v>
      </c>
      <c r="F38" t="s">
        <v>1241</v>
      </c>
      <c r="G38" t="s">
        <v>18</v>
      </c>
      <c r="H38">
        <v>2</v>
      </c>
      <c r="I38">
        <v>87.17</v>
      </c>
      <c r="J38">
        <v>0</v>
      </c>
      <c r="K38">
        <v>174.34</v>
      </c>
      <c r="L38">
        <v>55.33</v>
      </c>
      <c r="M38">
        <v>110.66</v>
      </c>
      <c r="N38">
        <v>26</v>
      </c>
      <c r="O38" t="s">
        <v>19</v>
      </c>
      <c r="P38" t="s">
        <v>20</v>
      </c>
    </row>
    <row r="39" spans="1:16">
      <c r="A39">
        <v>100775</v>
      </c>
      <c r="B39" s="4">
        <v>45771</v>
      </c>
      <c r="C39" t="s">
        <v>1187</v>
      </c>
      <c r="D39" t="s">
        <v>42</v>
      </c>
      <c r="E39" t="s">
        <v>25</v>
      </c>
      <c r="F39" t="s">
        <v>1238</v>
      </c>
      <c r="G39" t="s">
        <v>18</v>
      </c>
      <c r="H39">
        <v>3</v>
      </c>
      <c r="I39">
        <v>153.41</v>
      </c>
      <c r="J39">
        <v>0</v>
      </c>
      <c r="K39">
        <v>460.23</v>
      </c>
      <c r="L39">
        <v>136.68</v>
      </c>
      <c r="M39">
        <v>410.04</v>
      </c>
      <c r="N39">
        <v>39</v>
      </c>
      <c r="O39" t="s">
        <v>19</v>
      </c>
      <c r="P39" t="s">
        <v>43</v>
      </c>
    </row>
    <row r="40" spans="1:16">
      <c r="A40">
        <v>100321</v>
      </c>
      <c r="B40" s="4">
        <v>45924</v>
      </c>
      <c r="C40" t="s">
        <v>89</v>
      </c>
      <c r="D40" t="s">
        <v>68</v>
      </c>
      <c r="E40" t="s">
        <v>25</v>
      </c>
      <c r="F40" t="s">
        <v>1238</v>
      </c>
      <c r="G40" t="s">
        <v>31</v>
      </c>
      <c r="H40">
        <v>4</v>
      </c>
      <c r="I40">
        <v>233.68</v>
      </c>
      <c r="J40">
        <v>0</v>
      </c>
      <c r="K40">
        <v>934.72</v>
      </c>
      <c r="L40">
        <v>328.49</v>
      </c>
      <c r="M40">
        <v>1313.96</v>
      </c>
      <c r="N40">
        <v>19</v>
      </c>
      <c r="O40" t="s">
        <v>19</v>
      </c>
      <c r="P40" t="s">
        <v>27</v>
      </c>
    </row>
    <row r="41" spans="1:16">
      <c r="A41">
        <v>100205</v>
      </c>
      <c r="B41" s="4">
        <v>45439</v>
      </c>
      <c r="C41" t="s">
        <v>1185</v>
      </c>
      <c r="D41" t="s">
        <v>70</v>
      </c>
      <c r="E41" t="s">
        <v>25</v>
      </c>
      <c r="F41" t="s">
        <v>1241</v>
      </c>
      <c r="G41" t="s">
        <v>18</v>
      </c>
      <c r="H41">
        <v>1</v>
      </c>
      <c r="I41">
        <v>145.81</v>
      </c>
      <c r="J41">
        <v>10</v>
      </c>
      <c r="K41">
        <v>131.22999999999999</v>
      </c>
      <c r="L41">
        <v>44.93</v>
      </c>
      <c r="M41">
        <v>44.93</v>
      </c>
      <c r="N41">
        <v>39</v>
      </c>
      <c r="O41" t="s">
        <v>26</v>
      </c>
      <c r="P41" t="s">
        <v>46</v>
      </c>
    </row>
    <row r="42" spans="1:16">
      <c r="A42">
        <v>101065</v>
      </c>
      <c r="B42" s="4">
        <v>45757</v>
      </c>
      <c r="C42" t="s">
        <v>91</v>
      </c>
      <c r="D42" t="s">
        <v>24</v>
      </c>
      <c r="E42" t="s">
        <v>25</v>
      </c>
      <c r="F42" t="s">
        <v>1239</v>
      </c>
      <c r="G42" t="s">
        <v>64</v>
      </c>
      <c r="H42">
        <v>7</v>
      </c>
      <c r="I42">
        <v>95.23</v>
      </c>
      <c r="J42">
        <v>0</v>
      </c>
      <c r="K42">
        <v>666.61</v>
      </c>
      <c r="L42">
        <v>186.65</v>
      </c>
      <c r="M42">
        <v>1306.55</v>
      </c>
      <c r="N42">
        <v>24</v>
      </c>
      <c r="O42" t="s">
        <v>19</v>
      </c>
      <c r="P42" t="s">
        <v>35</v>
      </c>
    </row>
    <row r="43" spans="1:16">
      <c r="A43">
        <v>101104</v>
      </c>
      <c r="B43" s="4">
        <v>44941</v>
      </c>
      <c r="C43" t="s">
        <v>1184</v>
      </c>
      <c r="D43" t="s">
        <v>68</v>
      </c>
      <c r="E43" t="s">
        <v>25</v>
      </c>
      <c r="F43" t="s">
        <v>1240</v>
      </c>
      <c r="G43" t="s">
        <v>31</v>
      </c>
      <c r="H43">
        <v>3</v>
      </c>
      <c r="I43">
        <v>217.49</v>
      </c>
      <c r="J43">
        <v>0</v>
      </c>
      <c r="K43">
        <v>652.47</v>
      </c>
      <c r="L43">
        <v>140.63999999999999</v>
      </c>
      <c r="M43">
        <v>421.91999999999996</v>
      </c>
      <c r="N43">
        <v>18</v>
      </c>
      <c r="O43" t="s">
        <v>26</v>
      </c>
      <c r="P43" t="s">
        <v>32</v>
      </c>
    </row>
    <row r="44" spans="1:16">
      <c r="A44">
        <v>101025</v>
      </c>
      <c r="B44" s="4">
        <v>45129</v>
      </c>
      <c r="C44" t="s">
        <v>1183</v>
      </c>
      <c r="D44" t="s">
        <v>24</v>
      </c>
      <c r="E44" t="s">
        <v>25</v>
      </c>
      <c r="F44" t="s">
        <v>1239</v>
      </c>
      <c r="G44" t="s">
        <v>18</v>
      </c>
      <c r="H44">
        <v>2</v>
      </c>
      <c r="I44">
        <v>97.9</v>
      </c>
      <c r="J44">
        <v>0</v>
      </c>
      <c r="K44">
        <v>195.8</v>
      </c>
      <c r="L44">
        <v>57.08</v>
      </c>
      <c r="M44">
        <v>114.16</v>
      </c>
      <c r="N44">
        <v>43</v>
      </c>
      <c r="O44" t="s">
        <v>19</v>
      </c>
      <c r="P44" t="s">
        <v>81</v>
      </c>
    </row>
    <row r="45" spans="1:16">
      <c r="A45">
        <v>100355</v>
      </c>
      <c r="B45" s="4">
        <v>45910</v>
      </c>
      <c r="C45" t="s">
        <v>94</v>
      </c>
      <c r="D45" t="s">
        <v>24</v>
      </c>
      <c r="E45" t="s">
        <v>25</v>
      </c>
      <c r="F45" t="s">
        <v>1240</v>
      </c>
      <c r="G45" t="s">
        <v>18</v>
      </c>
      <c r="H45">
        <v>2</v>
      </c>
      <c r="I45">
        <v>97.13</v>
      </c>
      <c r="J45">
        <v>5</v>
      </c>
      <c r="K45">
        <v>184.55</v>
      </c>
      <c r="L45">
        <v>50.99</v>
      </c>
      <c r="M45">
        <v>101.98</v>
      </c>
      <c r="N45">
        <v>29</v>
      </c>
      <c r="O45" t="s">
        <v>26</v>
      </c>
      <c r="P45" t="s">
        <v>20</v>
      </c>
    </row>
    <row r="46" spans="1:16">
      <c r="A46">
        <v>101129</v>
      </c>
      <c r="B46" s="4">
        <v>45871</v>
      </c>
      <c r="C46" t="s">
        <v>1180</v>
      </c>
      <c r="D46" t="s">
        <v>73</v>
      </c>
      <c r="E46" t="s">
        <v>25</v>
      </c>
      <c r="F46" t="s">
        <v>1241</v>
      </c>
      <c r="G46" t="s">
        <v>48</v>
      </c>
      <c r="H46">
        <v>3</v>
      </c>
      <c r="I46">
        <v>33.840000000000003</v>
      </c>
      <c r="J46">
        <v>40</v>
      </c>
      <c r="K46">
        <v>60.91</v>
      </c>
      <c r="L46">
        <v>19.8</v>
      </c>
      <c r="M46">
        <v>59.400000000000006</v>
      </c>
      <c r="N46">
        <v>22</v>
      </c>
      <c r="O46" t="s">
        <v>19</v>
      </c>
      <c r="P46" t="s">
        <v>32</v>
      </c>
    </row>
    <row r="47" spans="1:16">
      <c r="A47">
        <v>100342</v>
      </c>
      <c r="B47" s="4">
        <v>44939</v>
      </c>
      <c r="C47" t="s">
        <v>96</v>
      </c>
      <c r="D47" t="s">
        <v>70</v>
      </c>
      <c r="E47" t="s">
        <v>25</v>
      </c>
      <c r="F47" t="s">
        <v>1240</v>
      </c>
      <c r="G47" t="s">
        <v>18</v>
      </c>
      <c r="H47">
        <v>4</v>
      </c>
      <c r="I47">
        <v>128.36000000000001</v>
      </c>
      <c r="J47">
        <v>0</v>
      </c>
      <c r="K47">
        <v>513.44000000000005</v>
      </c>
      <c r="L47">
        <v>113.36</v>
      </c>
      <c r="M47">
        <v>453.44</v>
      </c>
      <c r="N47">
        <v>26</v>
      </c>
      <c r="O47" t="s">
        <v>19</v>
      </c>
      <c r="P47" t="s">
        <v>43</v>
      </c>
    </row>
    <row r="48" spans="1:16">
      <c r="A48">
        <v>100354</v>
      </c>
      <c r="B48" s="4">
        <v>45661</v>
      </c>
      <c r="C48" t="s">
        <v>97</v>
      </c>
      <c r="D48" t="s">
        <v>42</v>
      </c>
      <c r="E48" t="s">
        <v>25</v>
      </c>
      <c r="F48" t="s">
        <v>1239</v>
      </c>
      <c r="G48" t="s">
        <v>18</v>
      </c>
      <c r="H48">
        <v>2</v>
      </c>
      <c r="I48">
        <v>172.35</v>
      </c>
      <c r="J48">
        <v>0</v>
      </c>
      <c r="K48">
        <v>344.7</v>
      </c>
      <c r="L48">
        <v>131.25</v>
      </c>
      <c r="M48">
        <v>262.5</v>
      </c>
      <c r="N48">
        <v>29</v>
      </c>
      <c r="O48" t="s">
        <v>26</v>
      </c>
      <c r="P48" t="s">
        <v>35</v>
      </c>
    </row>
    <row r="49" spans="1:16">
      <c r="A49">
        <v>100401</v>
      </c>
      <c r="B49" s="4">
        <v>45731</v>
      </c>
      <c r="C49" t="s">
        <v>1178</v>
      </c>
      <c r="D49" t="s">
        <v>24</v>
      </c>
      <c r="E49" t="s">
        <v>25</v>
      </c>
      <c r="F49" t="s">
        <v>1238</v>
      </c>
      <c r="G49" t="s">
        <v>18</v>
      </c>
      <c r="H49">
        <v>2</v>
      </c>
      <c r="I49">
        <v>96.46</v>
      </c>
      <c r="J49">
        <v>10</v>
      </c>
      <c r="K49">
        <v>173.63</v>
      </c>
      <c r="L49">
        <v>60.6</v>
      </c>
      <c r="M49">
        <v>121.2</v>
      </c>
      <c r="N49">
        <v>24</v>
      </c>
      <c r="O49" t="s">
        <v>26</v>
      </c>
      <c r="P49" t="s">
        <v>46</v>
      </c>
    </row>
    <row r="50" spans="1:16">
      <c r="A50">
        <v>100043</v>
      </c>
      <c r="B50" s="4">
        <v>45373</v>
      </c>
      <c r="C50" t="s">
        <v>99</v>
      </c>
      <c r="D50" t="s">
        <v>100</v>
      </c>
      <c r="E50" t="s">
        <v>25</v>
      </c>
      <c r="F50" t="s">
        <v>1241</v>
      </c>
      <c r="G50" t="s">
        <v>48</v>
      </c>
      <c r="H50">
        <v>5</v>
      </c>
      <c r="I50">
        <v>123.22</v>
      </c>
      <c r="J50">
        <v>0</v>
      </c>
      <c r="K50">
        <v>616.1</v>
      </c>
      <c r="L50">
        <v>217.11</v>
      </c>
      <c r="M50">
        <v>1085.5500000000002</v>
      </c>
      <c r="N50">
        <v>24</v>
      </c>
      <c r="O50" t="s">
        <v>26</v>
      </c>
      <c r="P50" t="s">
        <v>81</v>
      </c>
    </row>
    <row r="51" spans="1:16">
      <c r="A51">
        <v>100729</v>
      </c>
      <c r="B51" s="4">
        <v>45154</v>
      </c>
      <c r="C51" t="s">
        <v>1177</v>
      </c>
      <c r="D51" t="s">
        <v>68</v>
      </c>
      <c r="E51" t="s">
        <v>25</v>
      </c>
      <c r="F51" t="s">
        <v>1241</v>
      </c>
      <c r="G51" t="s">
        <v>18</v>
      </c>
      <c r="H51">
        <v>2</v>
      </c>
      <c r="I51">
        <v>226.68</v>
      </c>
      <c r="J51">
        <v>0</v>
      </c>
      <c r="K51">
        <v>453.36</v>
      </c>
      <c r="L51">
        <v>173.84</v>
      </c>
      <c r="M51">
        <v>347.68</v>
      </c>
      <c r="N51">
        <v>22</v>
      </c>
      <c r="O51" t="s">
        <v>26</v>
      </c>
      <c r="P51" t="s">
        <v>35</v>
      </c>
    </row>
    <row r="52" spans="1:16">
      <c r="A52">
        <v>100995</v>
      </c>
      <c r="B52" s="4">
        <v>45236</v>
      </c>
      <c r="C52" t="s">
        <v>1174</v>
      </c>
      <c r="D52" t="s">
        <v>100</v>
      </c>
      <c r="E52" t="s">
        <v>25</v>
      </c>
      <c r="F52" t="s">
        <v>1237</v>
      </c>
      <c r="G52" t="s">
        <v>18</v>
      </c>
      <c r="H52">
        <v>3</v>
      </c>
      <c r="I52">
        <v>127.71</v>
      </c>
      <c r="J52">
        <v>0</v>
      </c>
      <c r="K52">
        <v>383.13</v>
      </c>
      <c r="L52">
        <v>127.48</v>
      </c>
      <c r="M52">
        <v>382.44</v>
      </c>
      <c r="N52">
        <v>30</v>
      </c>
      <c r="O52" t="s">
        <v>19</v>
      </c>
      <c r="P52" t="s">
        <v>27</v>
      </c>
    </row>
    <row r="53" spans="1:16">
      <c r="A53">
        <v>101135</v>
      </c>
      <c r="B53" s="4">
        <v>45502</v>
      </c>
      <c r="C53" t="s">
        <v>103</v>
      </c>
      <c r="D53" t="s">
        <v>24</v>
      </c>
      <c r="E53" t="s">
        <v>25</v>
      </c>
      <c r="F53" t="s">
        <v>1237</v>
      </c>
      <c r="G53" t="s">
        <v>31</v>
      </c>
      <c r="H53">
        <v>2</v>
      </c>
      <c r="I53">
        <v>99.59</v>
      </c>
      <c r="J53">
        <v>5</v>
      </c>
      <c r="K53">
        <v>189.22</v>
      </c>
      <c r="L53">
        <v>63.97</v>
      </c>
      <c r="M53">
        <v>127.94</v>
      </c>
      <c r="N53">
        <v>36</v>
      </c>
      <c r="O53" t="s">
        <v>26</v>
      </c>
      <c r="P53" t="s">
        <v>20</v>
      </c>
    </row>
    <row r="54" spans="1:16">
      <c r="A54">
        <v>100269</v>
      </c>
      <c r="B54" s="4">
        <v>45032</v>
      </c>
      <c r="C54" t="s">
        <v>1173</v>
      </c>
      <c r="D54" t="s">
        <v>39</v>
      </c>
      <c r="E54" t="s">
        <v>25</v>
      </c>
      <c r="F54" t="s">
        <v>1237</v>
      </c>
      <c r="G54" t="s">
        <v>31</v>
      </c>
      <c r="H54">
        <v>4</v>
      </c>
      <c r="I54">
        <v>205.91</v>
      </c>
      <c r="J54">
        <v>10</v>
      </c>
      <c r="K54">
        <v>741.28</v>
      </c>
      <c r="L54">
        <v>243.02</v>
      </c>
      <c r="M54">
        <v>972.08</v>
      </c>
      <c r="N54">
        <v>28</v>
      </c>
      <c r="O54" t="s">
        <v>19</v>
      </c>
      <c r="P54" t="s">
        <v>32</v>
      </c>
    </row>
    <row r="55" spans="1:16">
      <c r="A55">
        <v>100455</v>
      </c>
      <c r="B55" s="4">
        <v>45768</v>
      </c>
      <c r="C55" t="s">
        <v>1171</v>
      </c>
      <c r="D55" t="s">
        <v>39</v>
      </c>
      <c r="E55" t="s">
        <v>25</v>
      </c>
      <c r="F55" t="s">
        <v>1238</v>
      </c>
      <c r="G55" t="s">
        <v>18</v>
      </c>
      <c r="H55">
        <v>2</v>
      </c>
      <c r="I55">
        <v>196.84</v>
      </c>
      <c r="J55">
        <v>5</v>
      </c>
      <c r="K55">
        <v>374</v>
      </c>
      <c r="L55">
        <v>83.57</v>
      </c>
      <c r="M55">
        <v>167.14</v>
      </c>
      <c r="N55">
        <v>34</v>
      </c>
      <c r="O55" t="s">
        <v>26</v>
      </c>
      <c r="P55" t="s">
        <v>20</v>
      </c>
    </row>
    <row r="56" spans="1:16">
      <c r="A56">
        <v>100295</v>
      </c>
      <c r="B56" s="4">
        <v>45098</v>
      </c>
      <c r="C56" t="s">
        <v>1169</v>
      </c>
      <c r="D56" t="s">
        <v>24</v>
      </c>
      <c r="E56" t="s">
        <v>25</v>
      </c>
      <c r="F56" t="s">
        <v>1237</v>
      </c>
      <c r="G56" t="s">
        <v>18</v>
      </c>
      <c r="H56">
        <v>2</v>
      </c>
      <c r="I56">
        <v>106.92</v>
      </c>
      <c r="J56">
        <v>0</v>
      </c>
      <c r="K56">
        <v>213.84</v>
      </c>
      <c r="L56">
        <v>58.53</v>
      </c>
      <c r="M56">
        <v>117.06</v>
      </c>
      <c r="N56">
        <v>29</v>
      </c>
      <c r="O56" t="s">
        <v>26</v>
      </c>
      <c r="P56" t="s">
        <v>51</v>
      </c>
    </row>
    <row r="57" spans="1:16">
      <c r="A57">
        <v>100719</v>
      </c>
      <c r="B57" s="4">
        <v>45156</v>
      </c>
      <c r="C57" t="s">
        <v>1168</v>
      </c>
      <c r="D57" t="s">
        <v>39</v>
      </c>
      <c r="E57" t="s">
        <v>25</v>
      </c>
      <c r="F57" t="s">
        <v>1241</v>
      </c>
      <c r="G57" t="s">
        <v>18</v>
      </c>
      <c r="H57">
        <v>3</v>
      </c>
      <c r="I57">
        <v>159.36000000000001</v>
      </c>
      <c r="J57">
        <v>0</v>
      </c>
      <c r="K57">
        <v>478.08</v>
      </c>
      <c r="L57">
        <v>135.58000000000001</v>
      </c>
      <c r="M57">
        <v>406.74</v>
      </c>
      <c r="N57">
        <v>36</v>
      </c>
      <c r="O57" t="s">
        <v>19</v>
      </c>
      <c r="P57" t="s">
        <v>46</v>
      </c>
    </row>
    <row r="58" spans="1:16">
      <c r="A58">
        <v>101076</v>
      </c>
      <c r="B58" s="4">
        <v>45220</v>
      </c>
      <c r="C58" t="s">
        <v>1165</v>
      </c>
      <c r="D58" t="s">
        <v>87</v>
      </c>
      <c r="E58" t="s">
        <v>25</v>
      </c>
      <c r="F58" t="s">
        <v>1239</v>
      </c>
      <c r="G58" t="s">
        <v>18</v>
      </c>
      <c r="H58">
        <v>4</v>
      </c>
      <c r="I58">
        <v>85.14</v>
      </c>
      <c r="J58">
        <v>20</v>
      </c>
      <c r="K58">
        <v>272.45</v>
      </c>
      <c r="L58">
        <v>61.77</v>
      </c>
      <c r="M58">
        <v>247.08</v>
      </c>
      <c r="N58">
        <v>26</v>
      </c>
      <c r="O58" t="s">
        <v>19</v>
      </c>
      <c r="P58" t="s">
        <v>35</v>
      </c>
    </row>
    <row r="59" spans="1:16">
      <c r="A59">
        <v>101172</v>
      </c>
      <c r="B59" s="4">
        <v>45903</v>
      </c>
      <c r="C59" t="s">
        <v>109</v>
      </c>
      <c r="D59" t="s">
        <v>24</v>
      </c>
      <c r="E59" t="s">
        <v>25</v>
      </c>
      <c r="F59" t="s">
        <v>1241</v>
      </c>
      <c r="G59" t="s">
        <v>31</v>
      </c>
      <c r="H59">
        <v>2</v>
      </c>
      <c r="I59">
        <v>82.12</v>
      </c>
      <c r="J59">
        <v>0</v>
      </c>
      <c r="K59">
        <v>164.24</v>
      </c>
      <c r="L59">
        <v>57.54</v>
      </c>
      <c r="M59">
        <v>115.08</v>
      </c>
      <c r="N59">
        <v>51</v>
      </c>
      <c r="O59" t="s">
        <v>26</v>
      </c>
      <c r="P59" t="s">
        <v>27</v>
      </c>
    </row>
    <row r="60" spans="1:16">
      <c r="A60">
        <v>101001</v>
      </c>
      <c r="B60" s="4">
        <v>45595</v>
      </c>
      <c r="C60" t="s">
        <v>110</v>
      </c>
      <c r="D60" t="s">
        <v>42</v>
      </c>
      <c r="E60" t="s">
        <v>25</v>
      </c>
      <c r="F60" t="s">
        <v>1241</v>
      </c>
      <c r="G60" t="s">
        <v>31</v>
      </c>
      <c r="H60">
        <v>3</v>
      </c>
      <c r="I60">
        <v>131.82</v>
      </c>
      <c r="J60">
        <v>10</v>
      </c>
      <c r="K60">
        <v>355.91</v>
      </c>
      <c r="L60">
        <v>114.03</v>
      </c>
      <c r="M60">
        <v>342.09000000000003</v>
      </c>
      <c r="N60">
        <v>32</v>
      </c>
      <c r="O60" t="s">
        <v>26</v>
      </c>
      <c r="P60" t="s">
        <v>27</v>
      </c>
    </row>
    <row r="61" spans="1:16">
      <c r="A61">
        <v>100763</v>
      </c>
      <c r="B61" s="4">
        <v>45359</v>
      </c>
      <c r="C61" t="s">
        <v>1162</v>
      </c>
      <c r="D61" t="s">
        <v>70</v>
      </c>
      <c r="E61" t="s">
        <v>25</v>
      </c>
      <c r="F61" t="s">
        <v>1241</v>
      </c>
      <c r="G61" t="s">
        <v>18</v>
      </c>
      <c r="H61">
        <v>1</v>
      </c>
      <c r="I61">
        <v>150.6</v>
      </c>
      <c r="J61">
        <v>20</v>
      </c>
      <c r="K61">
        <v>120.48</v>
      </c>
      <c r="L61">
        <v>44.04</v>
      </c>
      <c r="M61">
        <v>44.04</v>
      </c>
      <c r="N61">
        <v>28</v>
      </c>
      <c r="O61" t="s">
        <v>19</v>
      </c>
      <c r="P61" t="s">
        <v>20</v>
      </c>
    </row>
    <row r="62" spans="1:16">
      <c r="A62">
        <v>100309</v>
      </c>
      <c r="B62" s="4">
        <v>45607</v>
      </c>
      <c r="C62" t="s">
        <v>112</v>
      </c>
      <c r="D62" t="s">
        <v>42</v>
      </c>
      <c r="E62" t="s">
        <v>25</v>
      </c>
      <c r="F62" t="s">
        <v>1237</v>
      </c>
      <c r="G62" t="s">
        <v>31</v>
      </c>
      <c r="H62">
        <v>4</v>
      </c>
      <c r="I62">
        <v>151.44999999999999</v>
      </c>
      <c r="J62">
        <v>10</v>
      </c>
      <c r="K62">
        <v>545.22</v>
      </c>
      <c r="L62">
        <v>165.42</v>
      </c>
      <c r="M62">
        <v>661.68</v>
      </c>
      <c r="N62">
        <v>36</v>
      </c>
      <c r="O62" t="s">
        <v>19</v>
      </c>
      <c r="P62" t="s">
        <v>32</v>
      </c>
    </row>
    <row r="63" spans="1:16">
      <c r="A63">
        <v>100155</v>
      </c>
      <c r="B63" s="4">
        <v>45523</v>
      </c>
      <c r="C63" t="s">
        <v>113</v>
      </c>
      <c r="D63" t="s">
        <v>68</v>
      </c>
      <c r="E63" t="s">
        <v>25</v>
      </c>
      <c r="F63" t="s">
        <v>1238</v>
      </c>
      <c r="G63" t="s">
        <v>31</v>
      </c>
      <c r="H63">
        <v>2</v>
      </c>
      <c r="I63">
        <v>210.8</v>
      </c>
      <c r="J63">
        <v>0</v>
      </c>
      <c r="K63">
        <v>421.6</v>
      </c>
      <c r="L63">
        <v>98.14</v>
      </c>
      <c r="M63">
        <v>196.28</v>
      </c>
      <c r="N63">
        <v>22</v>
      </c>
      <c r="O63" t="s">
        <v>19</v>
      </c>
      <c r="P63" t="s">
        <v>35</v>
      </c>
    </row>
    <row r="64" spans="1:16">
      <c r="A64">
        <v>100210</v>
      </c>
      <c r="B64" s="4">
        <v>45122</v>
      </c>
      <c r="C64" t="s">
        <v>114</v>
      </c>
      <c r="D64" t="s">
        <v>39</v>
      </c>
      <c r="E64" t="s">
        <v>25</v>
      </c>
      <c r="F64" t="s">
        <v>1238</v>
      </c>
      <c r="G64" t="s">
        <v>18</v>
      </c>
      <c r="H64">
        <v>3</v>
      </c>
      <c r="I64">
        <v>166.49</v>
      </c>
      <c r="J64">
        <v>5</v>
      </c>
      <c r="K64">
        <v>474.5</v>
      </c>
      <c r="L64">
        <v>157.63999999999999</v>
      </c>
      <c r="M64">
        <v>472.91999999999996</v>
      </c>
      <c r="N64">
        <v>25</v>
      </c>
      <c r="O64" t="s">
        <v>26</v>
      </c>
      <c r="P64" t="s">
        <v>46</v>
      </c>
    </row>
    <row r="65" spans="1:16">
      <c r="A65">
        <v>100086</v>
      </c>
      <c r="B65" s="4">
        <v>44953</v>
      </c>
      <c r="C65" t="s">
        <v>115</v>
      </c>
      <c r="D65" t="s">
        <v>24</v>
      </c>
      <c r="E65" t="s">
        <v>25</v>
      </c>
      <c r="F65" t="s">
        <v>1237</v>
      </c>
      <c r="G65" t="s">
        <v>48</v>
      </c>
      <c r="H65">
        <v>4</v>
      </c>
      <c r="I65">
        <v>91.09</v>
      </c>
      <c r="J65">
        <v>20</v>
      </c>
      <c r="K65">
        <v>291.49</v>
      </c>
      <c r="L65">
        <v>72.010000000000005</v>
      </c>
      <c r="M65">
        <v>288.04000000000002</v>
      </c>
      <c r="N65">
        <v>25</v>
      </c>
      <c r="O65" t="s">
        <v>19</v>
      </c>
      <c r="P65" t="s">
        <v>81</v>
      </c>
    </row>
    <row r="66" spans="1:16">
      <c r="A66">
        <v>100168</v>
      </c>
      <c r="B66" s="4">
        <v>45189</v>
      </c>
      <c r="C66" t="s">
        <v>116</v>
      </c>
      <c r="D66" t="s">
        <v>73</v>
      </c>
      <c r="E66" t="s">
        <v>25</v>
      </c>
      <c r="F66" t="s">
        <v>1238</v>
      </c>
      <c r="G66" t="s">
        <v>31</v>
      </c>
      <c r="H66">
        <v>3</v>
      </c>
      <c r="I66">
        <v>37.99</v>
      </c>
      <c r="J66">
        <v>0</v>
      </c>
      <c r="K66">
        <v>113.97</v>
      </c>
      <c r="L66">
        <v>40.85</v>
      </c>
      <c r="M66">
        <v>122.55000000000001</v>
      </c>
      <c r="N66">
        <v>27</v>
      </c>
      <c r="O66" t="s">
        <v>26</v>
      </c>
      <c r="P66" t="s">
        <v>27</v>
      </c>
    </row>
    <row r="67" spans="1:16">
      <c r="A67">
        <v>100492</v>
      </c>
      <c r="B67" s="4">
        <v>45729</v>
      </c>
      <c r="C67" t="s">
        <v>1159</v>
      </c>
      <c r="D67" t="s">
        <v>100</v>
      </c>
      <c r="E67" t="s">
        <v>25</v>
      </c>
      <c r="F67" t="s">
        <v>1237</v>
      </c>
      <c r="G67" t="s">
        <v>31</v>
      </c>
      <c r="H67">
        <v>3</v>
      </c>
      <c r="I67">
        <v>122.51</v>
      </c>
      <c r="J67">
        <v>0</v>
      </c>
      <c r="K67">
        <v>367.53</v>
      </c>
      <c r="L67">
        <v>119.98</v>
      </c>
      <c r="M67">
        <v>359.94</v>
      </c>
      <c r="N67">
        <v>31</v>
      </c>
      <c r="O67" t="s">
        <v>19</v>
      </c>
      <c r="P67" t="s">
        <v>43</v>
      </c>
    </row>
    <row r="68" spans="1:16">
      <c r="A68">
        <v>100051</v>
      </c>
      <c r="B68" s="4">
        <v>45598</v>
      </c>
      <c r="C68" t="s">
        <v>118</v>
      </c>
      <c r="D68" t="s">
        <v>39</v>
      </c>
      <c r="E68" t="s">
        <v>25</v>
      </c>
      <c r="F68" t="s">
        <v>1239</v>
      </c>
      <c r="G68" t="s">
        <v>48</v>
      </c>
      <c r="H68">
        <v>2</v>
      </c>
      <c r="I68">
        <v>193.1</v>
      </c>
      <c r="J68">
        <v>0</v>
      </c>
      <c r="K68">
        <v>386.2</v>
      </c>
      <c r="L68">
        <v>111.95</v>
      </c>
      <c r="M68">
        <v>223.9</v>
      </c>
      <c r="N68">
        <v>30</v>
      </c>
      <c r="O68" t="s">
        <v>19</v>
      </c>
      <c r="P68" t="s">
        <v>51</v>
      </c>
    </row>
    <row r="69" spans="1:16">
      <c r="A69">
        <v>100438</v>
      </c>
      <c r="B69" s="4">
        <v>45695</v>
      </c>
      <c r="C69" t="s">
        <v>119</v>
      </c>
      <c r="D69" t="s">
        <v>42</v>
      </c>
      <c r="E69" t="s">
        <v>25</v>
      </c>
      <c r="F69" t="s">
        <v>1237</v>
      </c>
      <c r="G69" t="s">
        <v>18</v>
      </c>
      <c r="H69">
        <v>2</v>
      </c>
      <c r="I69">
        <v>168.9</v>
      </c>
      <c r="J69">
        <v>0</v>
      </c>
      <c r="K69">
        <v>337.8</v>
      </c>
      <c r="L69">
        <v>115.68</v>
      </c>
      <c r="M69">
        <v>231.36</v>
      </c>
      <c r="N69">
        <v>17</v>
      </c>
      <c r="O69" t="s">
        <v>26</v>
      </c>
      <c r="P69" t="s">
        <v>20</v>
      </c>
    </row>
    <row r="70" spans="1:16">
      <c r="A70">
        <v>100520</v>
      </c>
      <c r="B70" s="4">
        <v>45559</v>
      </c>
      <c r="C70" t="s">
        <v>1155</v>
      </c>
      <c r="D70" t="s">
        <v>68</v>
      </c>
      <c r="E70" t="s">
        <v>25</v>
      </c>
      <c r="F70" t="s">
        <v>1240</v>
      </c>
      <c r="G70" t="s">
        <v>18</v>
      </c>
      <c r="H70">
        <v>2</v>
      </c>
      <c r="I70">
        <v>209.22</v>
      </c>
      <c r="J70">
        <v>10</v>
      </c>
      <c r="K70">
        <v>376.6</v>
      </c>
      <c r="L70">
        <v>132.79</v>
      </c>
      <c r="M70">
        <v>265.58</v>
      </c>
      <c r="N70">
        <v>26</v>
      </c>
      <c r="O70" t="s">
        <v>26</v>
      </c>
      <c r="P70" t="s">
        <v>20</v>
      </c>
    </row>
    <row r="71" spans="1:16">
      <c r="A71">
        <v>100592</v>
      </c>
      <c r="B71" s="4">
        <v>44971</v>
      </c>
      <c r="C71" t="s">
        <v>1152</v>
      </c>
      <c r="D71" t="s">
        <v>42</v>
      </c>
      <c r="E71" t="s">
        <v>25</v>
      </c>
      <c r="F71" t="s">
        <v>1237</v>
      </c>
      <c r="G71" t="s">
        <v>31</v>
      </c>
      <c r="H71">
        <v>2</v>
      </c>
      <c r="I71">
        <v>145.22</v>
      </c>
      <c r="J71">
        <v>0</v>
      </c>
      <c r="K71">
        <v>290.44</v>
      </c>
      <c r="L71">
        <v>61.69</v>
      </c>
      <c r="M71">
        <v>123.38</v>
      </c>
      <c r="N71">
        <v>29</v>
      </c>
      <c r="O71" t="s">
        <v>26</v>
      </c>
      <c r="P71" t="s">
        <v>35</v>
      </c>
    </row>
    <row r="72" spans="1:16">
      <c r="A72">
        <v>100425</v>
      </c>
      <c r="B72" s="4">
        <v>45772</v>
      </c>
      <c r="C72" t="s">
        <v>123</v>
      </c>
      <c r="D72" t="s">
        <v>24</v>
      </c>
      <c r="E72" t="s">
        <v>25</v>
      </c>
      <c r="F72" t="s">
        <v>1240</v>
      </c>
      <c r="G72" t="s">
        <v>31</v>
      </c>
      <c r="H72">
        <v>2</v>
      </c>
      <c r="I72">
        <v>91.8</v>
      </c>
      <c r="J72">
        <v>0</v>
      </c>
      <c r="K72">
        <v>183.6</v>
      </c>
      <c r="L72">
        <v>31.17</v>
      </c>
      <c r="M72">
        <v>62.34</v>
      </c>
      <c r="N72">
        <v>31</v>
      </c>
      <c r="O72" t="s">
        <v>19</v>
      </c>
      <c r="P72" t="s">
        <v>51</v>
      </c>
    </row>
    <row r="73" spans="1:16">
      <c r="A73">
        <v>100288</v>
      </c>
      <c r="B73" s="4">
        <v>45212</v>
      </c>
      <c r="C73" t="s">
        <v>1149</v>
      </c>
      <c r="D73" t="s">
        <v>24</v>
      </c>
      <c r="E73" t="s">
        <v>25</v>
      </c>
      <c r="F73" t="s">
        <v>1237</v>
      </c>
      <c r="G73" t="s">
        <v>31</v>
      </c>
      <c r="H73">
        <v>4</v>
      </c>
      <c r="I73">
        <v>96.44</v>
      </c>
      <c r="J73">
        <v>0</v>
      </c>
      <c r="K73">
        <v>385.76</v>
      </c>
      <c r="L73">
        <v>126.85</v>
      </c>
      <c r="M73">
        <v>507.4</v>
      </c>
      <c r="N73">
        <v>39</v>
      </c>
      <c r="O73" t="s">
        <v>26</v>
      </c>
      <c r="P73" t="s">
        <v>51</v>
      </c>
    </row>
    <row r="74" spans="1:16">
      <c r="A74">
        <v>100200</v>
      </c>
      <c r="B74" s="4">
        <v>45436</v>
      </c>
      <c r="C74" t="s">
        <v>1143</v>
      </c>
      <c r="D74" t="s">
        <v>39</v>
      </c>
      <c r="E74" t="s">
        <v>25</v>
      </c>
      <c r="F74" t="s">
        <v>1238</v>
      </c>
      <c r="G74" t="s">
        <v>31</v>
      </c>
      <c r="H74">
        <v>4</v>
      </c>
      <c r="I74">
        <v>172.08</v>
      </c>
      <c r="J74">
        <v>10</v>
      </c>
      <c r="K74">
        <v>619.49</v>
      </c>
      <c r="L74">
        <v>165.04</v>
      </c>
      <c r="M74">
        <v>660.16</v>
      </c>
      <c r="N74">
        <v>34</v>
      </c>
      <c r="O74" t="s">
        <v>26</v>
      </c>
      <c r="P74" t="s">
        <v>43</v>
      </c>
    </row>
    <row r="75" spans="1:16">
      <c r="A75">
        <v>101056</v>
      </c>
      <c r="B75" s="4">
        <v>45671</v>
      </c>
      <c r="C75" t="s">
        <v>1140</v>
      </c>
      <c r="D75" t="s">
        <v>39</v>
      </c>
      <c r="E75" t="s">
        <v>25</v>
      </c>
      <c r="F75" t="s">
        <v>1238</v>
      </c>
      <c r="G75" t="s">
        <v>18</v>
      </c>
      <c r="H75">
        <v>3</v>
      </c>
      <c r="I75">
        <v>139.19999999999999</v>
      </c>
      <c r="J75">
        <v>0</v>
      </c>
      <c r="K75">
        <v>417.6</v>
      </c>
      <c r="L75">
        <v>153.66</v>
      </c>
      <c r="M75">
        <v>460.98</v>
      </c>
      <c r="N75">
        <v>44</v>
      </c>
      <c r="O75" t="s">
        <v>19</v>
      </c>
      <c r="P75" t="s">
        <v>81</v>
      </c>
    </row>
    <row r="76" spans="1:16">
      <c r="A76">
        <v>100502</v>
      </c>
      <c r="B76" s="4">
        <v>45724</v>
      </c>
      <c r="C76" t="s">
        <v>1138</v>
      </c>
      <c r="D76" t="s">
        <v>87</v>
      </c>
      <c r="E76" t="s">
        <v>25</v>
      </c>
      <c r="F76" t="s">
        <v>1241</v>
      </c>
      <c r="G76" t="s">
        <v>64</v>
      </c>
      <c r="H76">
        <v>5</v>
      </c>
      <c r="I76">
        <v>89.56</v>
      </c>
      <c r="J76">
        <v>10</v>
      </c>
      <c r="K76">
        <v>403.02</v>
      </c>
      <c r="L76">
        <v>115.02</v>
      </c>
      <c r="M76">
        <v>575.1</v>
      </c>
      <c r="N76">
        <v>36</v>
      </c>
      <c r="O76" t="s">
        <v>26</v>
      </c>
      <c r="P76" t="s">
        <v>81</v>
      </c>
    </row>
    <row r="77" spans="1:16">
      <c r="A77">
        <v>100406</v>
      </c>
      <c r="B77" s="4">
        <v>45156</v>
      </c>
      <c r="C77" t="s">
        <v>1137</v>
      </c>
      <c r="D77" t="s">
        <v>68</v>
      </c>
      <c r="E77" t="s">
        <v>25</v>
      </c>
      <c r="F77" t="s">
        <v>1241</v>
      </c>
      <c r="G77" t="s">
        <v>31</v>
      </c>
      <c r="H77">
        <v>2</v>
      </c>
      <c r="I77">
        <v>216.38</v>
      </c>
      <c r="J77">
        <v>20</v>
      </c>
      <c r="K77">
        <v>346.21</v>
      </c>
      <c r="L77">
        <v>92.61</v>
      </c>
      <c r="M77">
        <v>185.22</v>
      </c>
      <c r="N77">
        <v>32</v>
      </c>
      <c r="O77" t="s">
        <v>26</v>
      </c>
      <c r="P77" t="s">
        <v>81</v>
      </c>
    </row>
    <row r="78" spans="1:16">
      <c r="A78">
        <v>100184</v>
      </c>
      <c r="B78" s="4">
        <v>45182</v>
      </c>
      <c r="C78" t="s">
        <v>129</v>
      </c>
      <c r="D78" t="s">
        <v>87</v>
      </c>
      <c r="E78" t="s">
        <v>25</v>
      </c>
      <c r="F78" t="s">
        <v>1241</v>
      </c>
      <c r="G78" t="s">
        <v>31</v>
      </c>
      <c r="H78">
        <v>2</v>
      </c>
      <c r="I78">
        <v>75.760000000000005</v>
      </c>
      <c r="J78">
        <v>10</v>
      </c>
      <c r="K78">
        <v>136.37</v>
      </c>
      <c r="L78">
        <v>38.76</v>
      </c>
      <c r="M78">
        <v>77.52</v>
      </c>
      <c r="N78">
        <v>17</v>
      </c>
      <c r="O78" t="s">
        <v>19</v>
      </c>
      <c r="P78" t="s">
        <v>27</v>
      </c>
    </row>
    <row r="79" spans="1:16">
      <c r="A79">
        <v>100056</v>
      </c>
      <c r="B79" s="4">
        <v>45352</v>
      </c>
      <c r="C79" t="s">
        <v>130</v>
      </c>
      <c r="D79" t="s">
        <v>70</v>
      </c>
      <c r="E79" t="s">
        <v>25</v>
      </c>
      <c r="F79" t="s">
        <v>1238</v>
      </c>
      <c r="G79" t="s">
        <v>48</v>
      </c>
      <c r="H79">
        <v>3</v>
      </c>
      <c r="I79">
        <v>154.34</v>
      </c>
      <c r="J79">
        <v>20</v>
      </c>
      <c r="K79">
        <v>370.42</v>
      </c>
      <c r="L79">
        <v>121.89</v>
      </c>
      <c r="M79">
        <v>365.67</v>
      </c>
      <c r="N79">
        <v>35</v>
      </c>
      <c r="O79" t="s">
        <v>19</v>
      </c>
      <c r="P79" t="s">
        <v>81</v>
      </c>
    </row>
    <row r="80" spans="1:16">
      <c r="A80">
        <v>100804</v>
      </c>
      <c r="B80" s="4">
        <v>45022</v>
      </c>
      <c r="C80" t="s">
        <v>1136</v>
      </c>
      <c r="D80" t="s">
        <v>70</v>
      </c>
      <c r="E80" t="s">
        <v>25</v>
      </c>
      <c r="F80" t="s">
        <v>1240</v>
      </c>
      <c r="G80" t="s">
        <v>31</v>
      </c>
      <c r="H80">
        <v>2</v>
      </c>
      <c r="I80">
        <v>144.69</v>
      </c>
      <c r="J80">
        <v>0</v>
      </c>
      <c r="K80">
        <v>289.38</v>
      </c>
      <c r="L80">
        <v>81.88</v>
      </c>
      <c r="M80">
        <v>163.76</v>
      </c>
      <c r="N80">
        <v>25</v>
      </c>
      <c r="O80" t="s">
        <v>19</v>
      </c>
      <c r="P80" t="s">
        <v>35</v>
      </c>
    </row>
    <row r="81" spans="1:16">
      <c r="A81">
        <v>100098</v>
      </c>
      <c r="B81" s="4">
        <v>45434</v>
      </c>
      <c r="C81" t="s">
        <v>1135</v>
      </c>
      <c r="D81" t="s">
        <v>70</v>
      </c>
      <c r="E81" t="s">
        <v>25</v>
      </c>
      <c r="F81" t="s">
        <v>1240</v>
      </c>
      <c r="G81" t="s">
        <v>18</v>
      </c>
      <c r="H81">
        <v>2</v>
      </c>
      <c r="I81">
        <v>145.66</v>
      </c>
      <c r="J81">
        <v>10</v>
      </c>
      <c r="K81">
        <v>262.19</v>
      </c>
      <c r="L81">
        <v>75.53</v>
      </c>
      <c r="M81">
        <v>151.06</v>
      </c>
      <c r="N81">
        <v>26</v>
      </c>
      <c r="O81" t="s">
        <v>26</v>
      </c>
      <c r="P81" t="s">
        <v>46</v>
      </c>
    </row>
    <row r="82" spans="1:16">
      <c r="A82">
        <v>100642</v>
      </c>
      <c r="B82" s="4">
        <v>45554</v>
      </c>
      <c r="C82" t="s">
        <v>1130</v>
      </c>
      <c r="D82" t="s">
        <v>70</v>
      </c>
      <c r="E82" t="s">
        <v>25</v>
      </c>
      <c r="F82" t="s">
        <v>1238</v>
      </c>
      <c r="G82" t="s">
        <v>18</v>
      </c>
      <c r="H82">
        <v>4</v>
      </c>
      <c r="I82">
        <v>164.89</v>
      </c>
      <c r="J82">
        <v>0</v>
      </c>
      <c r="K82">
        <v>659.56</v>
      </c>
      <c r="L82">
        <v>216.79</v>
      </c>
      <c r="M82">
        <v>867.16</v>
      </c>
      <c r="N82">
        <v>19</v>
      </c>
      <c r="O82" t="s">
        <v>26</v>
      </c>
      <c r="P82" t="s">
        <v>46</v>
      </c>
    </row>
    <row r="83" spans="1:16">
      <c r="A83">
        <v>101028</v>
      </c>
      <c r="B83" s="4">
        <v>45218</v>
      </c>
      <c r="C83" t="s">
        <v>1129</v>
      </c>
      <c r="D83" t="s">
        <v>70</v>
      </c>
      <c r="E83" t="s">
        <v>25</v>
      </c>
      <c r="F83" t="s">
        <v>1238</v>
      </c>
      <c r="G83" t="s">
        <v>18</v>
      </c>
      <c r="H83">
        <v>3</v>
      </c>
      <c r="I83">
        <v>145.07</v>
      </c>
      <c r="J83">
        <v>10</v>
      </c>
      <c r="K83">
        <v>391.69</v>
      </c>
      <c r="L83">
        <v>137.51</v>
      </c>
      <c r="M83">
        <v>412.53</v>
      </c>
      <c r="N83">
        <v>24</v>
      </c>
      <c r="O83" t="s">
        <v>26</v>
      </c>
      <c r="P83" t="s">
        <v>51</v>
      </c>
    </row>
    <row r="84" spans="1:16">
      <c r="A84">
        <v>100870</v>
      </c>
      <c r="B84" s="4">
        <v>45733</v>
      </c>
      <c r="C84" t="s">
        <v>1125</v>
      </c>
      <c r="D84" t="s">
        <v>24</v>
      </c>
      <c r="E84" t="s">
        <v>25</v>
      </c>
      <c r="F84" t="s">
        <v>1239</v>
      </c>
      <c r="G84" t="s">
        <v>48</v>
      </c>
      <c r="H84">
        <v>3</v>
      </c>
      <c r="I84">
        <v>108.29</v>
      </c>
      <c r="J84">
        <v>0</v>
      </c>
      <c r="K84">
        <v>324.87</v>
      </c>
      <c r="L84">
        <v>91.11</v>
      </c>
      <c r="M84">
        <v>273.33</v>
      </c>
      <c r="N84">
        <v>17</v>
      </c>
      <c r="O84" t="s">
        <v>26</v>
      </c>
      <c r="P84" t="s">
        <v>27</v>
      </c>
    </row>
    <row r="85" spans="1:16">
      <c r="A85">
        <v>100206</v>
      </c>
      <c r="B85" s="4">
        <v>45262</v>
      </c>
      <c r="C85" t="s">
        <v>1123</v>
      </c>
      <c r="D85" t="s">
        <v>100</v>
      </c>
      <c r="E85" t="s">
        <v>25</v>
      </c>
      <c r="F85" t="s">
        <v>1238</v>
      </c>
      <c r="G85" t="s">
        <v>31</v>
      </c>
      <c r="H85">
        <v>4</v>
      </c>
      <c r="I85">
        <v>142.63</v>
      </c>
      <c r="J85">
        <v>5</v>
      </c>
      <c r="K85">
        <v>541.99</v>
      </c>
      <c r="L85">
        <v>160.16999999999999</v>
      </c>
      <c r="M85">
        <v>640.67999999999995</v>
      </c>
      <c r="N85">
        <v>27</v>
      </c>
      <c r="O85" t="s">
        <v>19</v>
      </c>
      <c r="P85" t="s">
        <v>43</v>
      </c>
    </row>
    <row r="86" spans="1:16">
      <c r="A86">
        <v>100548</v>
      </c>
      <c r="B86" s="4">
        <v>45740</v>
      </c>
      <c r="C86" t="s">
        <v>137</v>
      </c>
      <c r="D86" t="s">
        <v>70</v>
      </c>
      <c r="E86" t="s">
        <v>25</v>
      </c>
      <c r="F86" t="s">
        <v>1241</v>
      </c>
      <c r="G86" t="s">
        <v>18</v>
      </c>
      <c r="H86">
        <v>1</v>
      </c>
      <c r="I86">
        <v>136.94</v>
      </c>
      <c r="J86">
        <v>0</v>
      </c>
      <c r="K86">
        <v>136.94</v>
      </c>
      <c r="L86">
        <v>32.32</v>
      </c>
      <c r="M86">
        <v>32.32</v>
      </c>
      <c r="N86">
        <v>16</v>
      </c>
      <c r="O86" t="s">
        <v>26</v>
      </c>
      <c r="P86" t="s">
        <v>20</v>
      </c>
    </row>
    <row r="87" spans="1:16">
      <c r="A87">
        <v>100863</v>
      </c>
      <c r="B87" s="4">
        <v>45480</v>
      </c>
      <c r="C87" t="s">
        <v>1120</v>
      </c>
      <c r="D87" t="s">
        <v>42</v>
      </c>
      <c r="E87" t="s">
        <v>25</v>
      </c>
      <c r="F87" t="s">
        <v>1238</v>
      </c>
      <c r="G87" t="s">
        <v>18</v>
      </c>
      <c r="H87">
        <v>2</v>
      </c>
      <c r="I87">
        <v>176.79</v>
      </c>
      <c r="J87">
        <v>0</v>
      </c>
      <c r="K87">
        <v>353.58</v>
      </c>
      <c r="L87">
        <v>99.97</v>
      </c>
      <c r="M87">
        <v>199.94</v>
      </c>
      <c r="N87">
        <v>33</v>
      </c>
      <c r="O87" t="s">
        <v>19</v>
      </c>
      <c r="P87" t="s">
        <v>46</v>
      </c>
    </row>
    <row r="88" spans="1:16">
      <c r="A88">
        <v>101072</v>
      </c>
      <c r="B88" s="4">
        <v>45175</v>
      </c>
      <c r="C88" t="s">
        <v>139</v>
      </c>
      <c r="D88" t="s">
        <v>73</v>
      </c>
      <c r="E88" t="s">
        <v>25</v>
      </c>
      <c r="F88" t="s">
        <v>1241</v>
      </c>
      <c r="G88" t="s">
        <v>18</v>
      </c>
      <c r="H88">
        <v>2</v>
      </c>
      <c r="I88">
        <v>32.85</v>
      </c>
      <c r="J88">
        <v>0</v>
      </c>
      <c r="K88">
        <v>65.7</v>
      </c>
      <c r="L88">
        <v>17.73</v>
      </c>
      <c r="M88">
        <v>35.46</v>
      </c>
      <c r="N88">
        <v>26</v>
      </c>
      <c r="O88" t="s">
        <v>19</v>
      </c>
      <c r="P88" t="s">
        <v>35</v>
      </c>
    </row>
    <row r="89" spans="1:16">
      <c r="A89">
        <v>100174</v>
      </c>
      <c r="B89" s="4">
        <v>45573</v>
      </c>
      <c r="C89" t="s">
        <v>140</v>
      </c>
      <c r="D89" t="s">
        <v>42</v>
      </c>
      <c r="E89" t="s">
        <v>25</v>
      </c>
      <c r="F89" t="s">
        <v>1241</v>
      </c>
      <c r="G89" t="s">
        <v>31</v>
      </c>
      <c r="H89">
        <v>3</v>
      </c>
      <c r="I89">
        <v>161.69999999999999</v>
      </c>
      <c r="J89">
        <v>0</v>
      </c>
      <c r="K89">
        <v>485.1</v>
      </c>
      <c r="L89">
        <v>128.55000000000001</v>
      </c>
      <c r="M89">
        <v>385.65000000000003</v>
      </c>
      <c r="N89">
        <v>32</v>
      </c>
      <c r="O89" t="s">
        <v>26</v>
      </c>
      <c r="P89" t="s">
        <v>20</v>
      </c>
    </row>
    <row r="90" spans="1:16">
      <c r="A90">
        <v>100563</v>
      </c>
      <c r="B90" s="4">
        <v>45719</v>
      </c>
      <c r="C90" t="s">
        <v>1118</v>
      </c>
      <c r="D90" t="s">
        <v>68</v>
      </c>
      <c r="E90" t="s">
        <v>25</v>
      </c>
      <c r="F90" t="s">
        <v>1238</v>
      </c>
      <c r="G90" t="s">
        <v>18</v>
      </c>
      <c r="H90">
        <v>3</v>
      </c>
      <c r="I90">
        <v>227.63</v>
      </c>
      <c r="J90">
        <v>0</v>
      </c>
      <c r="K90">
        <v>682.89</v>
      </c>
      <c r="L90">
        <v>184.94</v>
      </c>
      <c r="M90">
        <v>554.81999999999994</v>
      </c>
      <c r="N90">
        <v>38</v>
      </c>
      <c r="O90" t="s">
        <v>26</v>
      </c>
      <c r="P90" t="s">
        <v>51</v>
      </c>
    </row>
    <row r="91" spans="1:16">
      <c r="A91">
        <v>100484</v>
      </c>
      <c r="B91" s="4">
        <v>44932</v>
      </c>
      <c r="C91" t="s">
        <v>1115</v>
      </c>
      <c r="D91" t="s">
        <v>39</v>
      </c>
      <c r="E91" t="s">
        <v>25</v>
      </c>
      <c r="F91" t="s">
        <v>1241</v>
      </c>
      <c r="G91" t="s">
        <v>18</v>
      </c>
      <c r="H91">
        <v>3</v>
      </c>
      <c r="I91">
        <v>184.81</v>
      </c>
      <c r="J91">
        <v>0</v>
      </c>
      <c r="K91">
        <v>554.42999999999995</v>
      </c>
      <c r="L91">
        <v>158.08000000000001</v>
      </c>
      <c r="M91">
        <v>474.24</v>
      </c>
      <c r="N91">
        <v>39</v>
      </c>
      <c r="O91" t="s">
        <v>19</v>
      </c>
      <c r="P91" t="s">
        <v>43</v>
      </c>
    </row>
    <row r="92" spans="1:16">
      <c r="A92">
        <v>100513</v>
      </c>
      <c r="B92" s="4">
        <v>45348</v>
      </c>
      <c r="C92" t="s">
        <v>143</v>
      </c>
      <c r="D92" t="s">
        <v>87</v>
      </c>
      <c r="E92" t="s">
        <v>25</v>
      </c>
      <c r="F92" t="s">
        <v>1237</v>
      </c>
      <c r="G92" t="s">
        <v>31</v>
      </c>
      <c r="H92">
        <v>6</v>
      </c>
      <c r="I92">
        <v>94.05</v>
      </c>
      <c r="J92">
        <v>5</v>
      </c>
      <c r="K92">
        <v>536.08000000000004</v>
      </c>
      <c r="L92">
        <v>131.25</v>
      </c>
      <c r="M92">
        <v>787.5</v>
      </c>
      <c r="N92">
        <v>27</v>
      </c>
      <c r="O92" t="s">
        <v>19</v>
      </c>
      <c r="P92" t="s">
        <v>35</v>
      </c>
    </row>
    <row r="93" spans="1:16">
      <c r="A93">
        <v>101109</v>
      </c>
      <c r="B93" s="4">
        <v>45309</v>
      </c>
      <c r="C93" t="s">
        <v>1114</v>
      </c>
      <c r="D93" t="s">
        <v>42</v>
      </c>
      <c r="E93" t="s">
        <v>25</v>
      </c>
      <c r="F93" t="s">
        <v>1241</v>
      </c>
      <c r="G93" t="s">
        <v>18</v>
      </c>
      <c r="H93">
        <v>3</v>
      </c>
      <c r="I93">
        <v>146.69</v>
      </c>
      <c r="J93">
        <v>0</v>
      </c>
      <c r="K93">
        <v>440.07</v>
      </c>
      <c r="L93">
        <v>146.22999999999999</v>
      </c>
      <c r="M93">
        <v>438.68999999999994</v>
      </c>
      <c r="N93">
        <v>21</v>
      </c>
      <c r="O93" t="s">
        <v>26</v>
      </c>
      <c r="P93" t="s">
        <v>32</v>
      </c>
    </row>
    <row r="94" spans="1:16">
      <c r="A94">
        <v>100286</v>
      </c>
      <c r="B94" s="4">
        <v>45492</v>
      </c>
      <c r="C94" t="s">
        <v>145</v>
      </c>
      <c r="D94" t="s">
        <v>42</v>
      </c>
      <c r="E94" t="s">
        <v>25</v>
      </c>
      <c r="F94" t="s">
        <v>1238</v>
      </c>
      <c r="G94" t="s">
        <v>31</v>
      </c>
      <c r="H94">
        <v>3</v>
      </c>
      <c r="I94">
        <v>172.13</v>
      </c>
      <c r="J94">
        <v>5</v>
      </c>
      <c r="K94">
        <v>490.57</v>
      </c>
      <c r="L94">
        <v>163.9</v>
      </c>
      <c r="M94">
        <v>491.70000000000005</v>
      </c>
      <c r="N94">
        <v>24</v>
      </c>
      <c r="O94" t="s">
        <v>19</v>
      </c>
      <c r="P94" t="s">
        <v>35</v>
      </c>
    </row>
    <row r="95" spans="1:16">
      <c r="A95">
        <v>100748</v>
      </c>
      <c r="B95" s="4">
        <v>45832</v>
      </c>
      <c r="C95" t="s">
        <v>1113</v>
      </c>
      <c r="D95" t="s">
        <v>42</v>
      </c>
      <c r="E95" t="s">
        <v>25</v>
      </c>
      <c r="F95" t="s">
        <v>1241</v>
      </c>
      <c r="G95" t="s">
        <v>31</v>
      </c>
      <c r="H95">
        <v>4</v>
      </c>
      <c r="I95">
        <v>148.94999999999999</v>
      </c>
      <c r="J95">
        <v>5</v>
      </c>
      <c r="K95">
        <v>566.01</v>
      </c>
      <c r="L95">
        <v>168.92</v>
      </c>
      <c r="M95">
        <v>675.68</v>
      </c>
      <c r="N95">
        <v>16</v>
      </c>
      <c r="O95" t="s">
        <v>26</v>
      </c>
      <c r="P95" t="s">
        <v>27</v>
      </c>
    </row>
    <row r="96" spans="1:16">
      <c r="A96">
        <v>101007</v>
      </c>
      <c r="B96" s="4">
        <v>45575</v>
      </c>
      <c r="C96" t="s">
        <v>147</v>
      </c>
      <c r="D96" t="s">
        <v>73</v>
      </c>
      <c r="E96" t="s">
        <v>25</v>
      </c>
      <c r="F96" t="s">
        <v>1237</v>
      </c>
      <c r="G96" t="s">
        <v>31</v>
      </c>
      <c r="H96">
        <v>3</v>
      </c>
      <c r="I96">
        <v>36.51</v>
      </c>
      <c r="J96">
        <v>0</v>
      </c>
      <c r="K96">
        <v>109.53</v>
      </c>
      <c r="L96">
        <v>37.47</v>
      </c>
      <c r="M96">
        <v>112.41</v>
      </c>
      <c r="N96">
        <v>30</v>
      </c>
      <c r="O96" t="s">
        <v>26</v>
      </c>
      <c r="P96" t="s">
        <v>35</v>
      </c>
    </row>
    <row r="97" spans="1:16">
      <c r="A97">
        <v>100670</v>
      </c>
      <c r="B97" s="4">
        <v>45175</v>
      </c>
      <c r="C97" t="s">
        <v>148</v>
      </c>
      <c r="D97" t="s">
        <v>68</v>
      </c>
      <c r="E97" t="s">
        <v>25</v>
      </c>
      <c r="F97" t="s">
        <v>1237</v>
      </c>
      <c r="G97" t="s">
        <v>48</v>
      </c>
      <c r="H97">
        <v>2</v>
      </c>
      <c r="I97">
        <v>207.35</v>
      </c>
      <c r="J97">
        <v>10</v>
      </c>
      <c r="K97">
        <v>373.23</v>
      </c>
      <c r="L97">
        <v>82.8</v>
      </c>
      <c r="M97">
        <v>165.6</v>
      </c>
      <c r="N97">
        <v>40</v>
      </c>
      <c r="O97" t="s">
        <v>19</v>
      </c>
      <c r="P97" t="s">
        <v>27</v>
      </c>
    </row>
    <row r="98" spans="1:16">
      <c r="A98">
        <v>100534</v>
      </c>
      <c r="B98" s="4">
        <v>45460</v>
      </c>
      <c r="C98" t="s">
        <v>149</v>
      </c>
      <c r="D98" t="s">
        <v>73</v>
      </c>
      <c r="E98" t="s">
        <v>25</v>
      </c>
      <c r="F98" t="s">
        <v>1237</v>
      </c>
      <c r="G98" t="s">
        <v>18</v>
      </c>
      <c r="H98">
        <v>3</v>
      </c>
      <c r="I98">
        <v>33.51</v>
      </c>
      <c r="J98">
        <v>5</v>
      </c>
      <c r="K98">
        <v>95.5</v>
      </c>
      <c r="L98">
        <v>30.96</v>
      </c>
      <c r="M98">
        <v>92.88</v>
      </c>
      <c r="N98">
        <v>27</v>
      </c>
      <c r="O98" t="s">
        <v>26</v>
      </c>
      <c r="P98" t="s">
        <v>81</v>
      </c>
    </row>
    <row r="99" spans="1:16">
      <c r="A99">
        <v>100540</v>
      </c>
      <c r="B99" s="4">
        <v>45293</v>
      </c>
      <c r="C99" t="s">
        <v>1112</v>
      </c>
      <c r="D99" t="s">
        <v>68</v>
      </c>
      <c r="E99" t="s">
        <v>25</v>
      </c>
      <c r="F99" t="s">
        <v>1241</v>
      </c>
      <c r="G99" t="s">
        <v>31</v>
      </c>
      <c r="H99">
        <v>3</v>
      </c>
      <c r="I99">
        <v>233.52</v>
      </c>
      <c r="J99">
        <v>40</v>
      </c>
      <c r="K99">
        <v>420.34</v>
      </c>
      <c r="L99">
        <v>130.63</v>
      </c>
      <c r="M99">
        <v>391.89</v>
      </c>
      <c r="N99">
        <v>30</v>
      </c>
      <c r="O99" t="s">
        <v>19</v>
      </c>
      <c r="P99" t="s">
        <v>46</v>
      </c>
    </row>
    <row r="100" spans="1:16">
      <c r="A100">
        <v>100292</v>
      </c>
      <c r="B100" s="4">
        <v>45360</v>
      </c>
      <c r="C100" t="s">
        <v>151</v>
      </c>
      <c r="D100" t="s">
        <v>42</v>
      </c>
      <c r="E100" t="s">
        <v>25</v>
      </c>
      <c r="F100" t="s">
        <v>1238</v>
      </c>
      <c r="G100" t="s">
        <v>48</v>
      </c>
      <c r="H100">
        <v>4</v>
      </c>
      <c r="I100">
        <v>159.65</v>
      </c>
      <c r="J100">
        <v>5</v>
      </c>
      <c r="K100">
        <v>606.66999999999996</v>
      </c>
      <c r="L100">
        <v>235.76</v>
      </c>
      <c r="M100">
        <v>943.04</v>
      </c>
      <c r="N100">
        <v>22</v>
      </c>
      <c r="O100" t="s">
        <v>19</v>
      </c>
      <c r="P100" t="s">
        <v>35</v>
      </c>
    </row>
    <row r="101" spans="1:16">
      <c r="A101">
        <v>100123</v>
      </c>
      <c r="B101" s="4">
        <v>45744</v>
      </c>
      <c r="C101" t="s">
        <v>152</v>
      </c>
      <c r="D101" t="s">
        <v>42</v>
      </c>
      <c r="E101" t="s">
        <v>25</v>
      </c>
      <c r="F101" t="s">
        <v>1239</v>
      </c>
      <c r="G101" t="s">
        <v>18</v>
      </c>
      <c r="H101">
        <v>4</v>
      </c>
      <c r="I101">
        <v>159.31</v>
      </c>
      <c r="J101">
        <v>10</v>
      </c>
      <c r="K101">
        <v>573.52</v>
      </c>
      <c r="L101">
        <v>164.35</v>
      </c>
      <c r="M101">
        <v>657.4</v>
      </c>
      <c r="N101">
        <v>21</v>
      </c>
      <c r="O101" t="s">
        <v>26</v>
      </c>
      <c r="P101" t="s">
        <v>51</v>
      </c>
    </row>
    <row r="102" spans="1:16">
      <c r="A102">
        <v>100582</v>
      </c>
      <c r="B102" s="4">
        <v>45163</v>
      </c>
      <c r="C102" t="s">
        <v>153</v>
      </c>
      <c r="D102" t="s">
        <v>39</v>
      </c>
      <c r="E102" t="s">
        <v>25</v>
      </c>
      <c r="F102" t="s">
        <v>1237</v>
      </c>
      <c r="G102" t="s">
        <v>31</v>
      </c>
      <c r="H102">
        <v>1</v>
      </c>
      <c r="I102">
        <v>173.04</v>
      </c>
      <c r="J102">
        <v>5</v>
      </c>
      <c r="K102">
        <v>164.39</v>
      </c>
      <c r="L102">
        <v>44.29</v>
      </c>
      <c r="M102">
        <v>44.29</v>
      </c>
      <c r="N102">
        <v>27</v>
      </c>
      <c r="O102" t="s">
        <v>26</v>
      </c>
      <c r="P102" t="s">
        <v>46</v>
      </c>
    </row>
    <row r="103" spans="1:16">
      <c r="A103">
        <v>100140</v>
      </c>
      <c r="B103" s="4">
        <v>44934</v>
      </c>
      <c r="C103" t="s">
        <v>154</v>
      </c>
      <c r="D103" t="s">
        <v>73</v>
      </c>
      <c r="E103" t="s">
        <v>25</v>
      </c>
      <c r="F103" t="s">
        <v>1241</v>
      </c>
      <c r="G103" t="s">
        <v>18</v>
      </c>
      <c r="H103">
        <v>1</v>
      </c>
      <c r="I103">
        <v>36.07</v>
      </c>
      <c r="J103">
        <v>5</v>
      </c>
      <c r="K103">
        <v>34.270000000000003</v>
      </c>
      <c r="L103">
        <v>6.22</v>
      </c>
      <c r="M103">
        <v>6.22</v>
      </c>
      <c r="N103">
        <v>34</v>
      </c>
      <c r="O103" t="s">
        <v>26</v>
      </c>
      <c r="P103" t="s">
        <v>43</v>
      </c>
    </row>
    <row r="104" spans="1:16">
      <c r="A104">
        <v>101059</v>
      </c>
      <c r="B104" s="4">
        <v>45417</v>
      </c>
      <c r="C104" t="s">
        <v>1111</v>
      </c>
      <c r="D104" t="s">
        <v>68</v>
      </c>
      <c r="E104" t="s">
        <v>25</v>
      </c>
      <c r="F104" t="s">
        <v>1238</v>
      </c>
      <c r="G104" t="s">
        <v>18</v>
      </c>
      <c r="H104">
        <v>4</v>
      </c>
      <c r="I104">
        <v>203.77</v>
      </c>
      <c r="J104">
        <v>20</v>
      </c>
      <c r="K104">
        <v>652.05999999999995</v>
      </c>
      <c r="L104">
        <v>179.72</v>
      </c>
      <c r="M104">
        <v>718.88</v>
      </c>
      <c r="N104">
        <v>18</v>
      </c>
      <c r="O104" t="s">
        <v>26</v>
      </c>
      <c r="P104" t="s">
        <v>81</v>
      </c>
    </row>
    <row r="105" spans="1:16">
      <c r="A105">
        <v>100081</v>
      </c>
      <c r="B105" s="4">
        <v>45197</v>
      </c>
      <c r="C105" t="s">
        <v>156</v>
      </c>
      <c r="D105" t="s">
        <v>24</v>
      </c>
      <c r="E105" t="s">
        <v>25</v>
      </c>
      <c r="F105" t="s">
        <v>1241</v>
      </c>
      <c r="G105" t="s">
        <v>18</v>
      </c>
      <c r="H105">
        <v>3</v>
      </c>
      <c r="I105">
        <v>105.4</v>
      </c>
      <c r="J105">
        <v>20</v>
      </c>
      <c r="K105">
        <v>252.96</v>
      </c>
      <c r="L105">
        <v>54</v>
      </c>
      <c r="M105">
        <v>162</v>
      </c>
      <c r="N105">
        <v>41</v>
      </c>
      <c r="O105" t="s">
        <v>26</v>
      </c>
      <c r="P105" t="s">
        <v>46</v>
      </c>
    </row>
    <row r="106" spans="1:16">
      <c r="A106">
        <v>100881</v>
      </c>
      <c r="B106" s="4">
        <v>45369</v>
      </c>
      <c r="C106" t="s">
        <v>157</v>
      </c>
      <c r="D106" t="s">
        <v>39</v>
      </c>
      <c r="E106" t="s">
        <v>25</v>
      </c>
      <c r="F106" t="s">
        <v>1237</v>
      </c>
      <c r="G106" t="s">
        <v>18</v>
      </c>
      <c r="H106">
        <v>4</v>
      </c>
      <c r="I106">
        <v>187.89</v>
      </c>
      <c r="J106">
        <v>0</v>
      </c>
      <c r="K106">
        <v>751.56</v>
      </c>
      <c r="L106">
        <v>230.22</v>
      </c>
      <c r="M106">
        <v>920.88</v>
      </c>
      <c r="N106">
        <v>20</v>
      </c>
      <c r="O106" t="s">
        <v>26</v>
      </c>
      <c r="P106" t="s">
        <v>27</v>
      </c>
    </row>
    <row r="107" spans="1:16">
      <c r="A107">
        <v>100739</v>
      </c>
      <c r="B107" s="4">
        <v>45110</v>
      </c>
      <c r="C107" t="s">
        <v>158</v>
      </c>
      <c r="D107" t="s">
        <v>39</v>
      </c>
      <c r="E107" t="s">
        <v>25</v>
      </c>
      <c r="F107" t="s">
        <v>1238</v>
      </c>
      <c r="G107" t="s">
        <v>18</v>
      </c>
      <c r="H107">
        <v>5</v>
      </c>
      <c r="I107">
        <v>176.55</v>
      </c>
      <c r="J107">
        <v>0</v>
      </c>
      <c r="K107">
        <v>882.75</v>
      </c>
      <c r="L107">
        <v>279.52999999999997</v>
      </c>
      <c r="M107">
        <v>1397.6499999999999</v>
      </c>
      <c r="N107">
        <v>31</v>
      </c>
      <c r="O107" t="s">
        <v>26</v>
      </c>
      <c r="P107" t="s">
        <v>27</v>
      </c>
    </row>
    <row r="108" spans="1:16">
      <c r="A108">
        <v>100577</v>
      </c>
      <c r="B108" s="4">
        <v>45513</v>
      </c>
      <c r="C108" t="s">
        <v>1109</v>
      </c>
      <c r="D108" t="s">
        <v>68</v>
      </c>
      <c r="E108" t="s">
        <v>25</v>
      </c>
      <c r="F108" t="s">
        <v>1238</v>
      </c>
      <c r="G108" t="s">
        <v>31</v>
      </c>
      <c r="H108">
        <v>5</v>
      </c>
      <c r="I108">
        <v>207.82</v>
      </c>
      <c r="J108">
        <v>5</v>
      </c>
      <c r="K108">
        <v>987.14</v>
      </c>
      <c r="L108">
        <v>261.25</v>
      </c>
      <c r="M108">
        <v>1306.25</v>
      </c>
      <c r="N108">
        <v>36</v>
      </c>
      <c r="O108" t="s">
        <v>26</v>
      </c>
      <c r="P108" t="s">
        <v>35</v>
      </c>
    </row>
    <row r="109" spans="1:16">
      <c r="A109">
        <v>100908</v>
      </c>
      <c r="B109" s="4">
        <v>45318</v>
      </c>
      <c r="C109" t="s">
        <v>160</v>
      </c>
      <c r="D109" t="s">
        <v>39</v>
      </c>
      <c r="E109" t="s">
        <v>25</v>
      </c>
      <c r="F109" t="s">
        <v>1241</v>
      </c>
      <c r="G109" t="s">
        <v>31</v>
      </c>
      <c r="H109">
        <v>2</v>
      </c>
      <c r="I109">
        <v>181.59</v>
      </c>
      <c r="J109">
        <v>20</v>
      </c>
      <c r="K109">
        <v>290.54000000000002</v>
      </c>
      <c r="L109">
        <v>96.12</v>
      </c>
      <c r="M109">
        <v>192.24</v>
      </c>
      <c r="N109">
        <v>24</v>
      </c>
      <c r="O109" t="s">
        <v>26</v>
      </c>
      <c r="P109" t="s">
        <v>27</v>
      </c>
    </row>
    <row r="110" spans="1:16">
      <c r="A110">
        <v>101166</v>
      </c>
      <c r="B110" s="4">
        <v>45581</v>
      </c>
      <c r="C110" t="s">
        <v>161</v>
      </c>
      <c r="D110" t="s">
        <v>87</v>
      </c>
      <c r="E110" t="s">
        <v>25</v>
      </c>
      <c r="F110" t="s">
        <v>1239</v>
      </c>
      <c r="G110" t="s">
        <v>31</v>
      </c>
      <c r="H110">
        <v>2</v>
      </c>
      <c r="I110">
        <v>74.08</v>
      </c>
      <c r="J110">
        <v>0</v>
      </c>
      <c r="K110">
        <v>148.16</v>
      </c>
      <c r="L110">
        <v>37.58</v>
      </c>
      <c r="M110">
        <v>75.16</v>
      </c>
      <c r="N110">
        <v>41</v>
      </c>
      <c r="O110" t="s">
        <v>19</v>
      </c>
      <c r="P110" t="s">
        <v>46</v>
      </c>
    </row>
    <row r="111" spans="1:16">
      <c r="A111">
        <v>100936</v>
      </c>
      <c r="B111" s="4">
        <v>45743</v>
      </c>
      <c r="C111" t="s">
        <v>162</v>
      </c>
      <c r="D111" t="s">
        <v>42</v>
      </c>
      <c r="E111" t="s">
        <v>25</v>
      </c>
      <c r="F111" t="s">
        <v>1241</v>
      </c>
      <c r="G111" t="s">
        <v>31</v>
      </c>
      <c r="H111">
        <v>2</v>
      </c>
      <c r="I111">
        <v>170.34</v>
      </c>
      <c r="J111">
        <v>0</v>
      </c>
      <c r="K111">
        <v>340.68</v>
      </c>
      <c r="L111">
        <v>87.76</v>
      </c>
      <c r="M111">
        <v>175.52</v>
      </c>
      <c r="N111">
        <v>16</v>
      </c>
      <c r="O111" t="s">
        <v>19</v>
      </c>
      <c r="P111" t="s">
        <v>43</v>
      </c>
    </row>
    <row r="112" spans="1:16">
      <c r="A112">
        <v>100681</v>
      </c>
      <c r="B112" s="4">
        <v>45685</v>
      </c>
      <c r="C112" t="s">
        <v>1108</v>
      </c>
      <c r="D112" t="s">
        <v>70</v>
      </c>
      <c r="E112" t="s">
        <v>25</v>
      </c>
      <c r="F112" t="s">
        <v>1241</v>
      </c>
      <c r="G112" t="s">
        <v>31</v>
      </c>
      <c r="H112">
        <v>4</v>
      </c>
      <c r="I112">
        <v>140.09</v>
      </c>
      <c r="J112">
        <v>0</v>
      </c>
      <c r="K112">
        <v>560.36</v>
      </c>
      <c r="L112">
        <v>172.6</v>
      </c>
      <c r="M112">
        <v>690.4</v>
      </c>
      <c r="N112">
        <v>47</v>
      </c>
      <c r="O112" t="s">
        <v>26</v>
      </c>
      <c r="P112" t="s">
        <v>27</v>
      </c>
    </row>
    <row r="113" spans="1:16">
      <c r="A113">
        <v>100556</v>
      </c>
      <c r="B113" s="4">
        <v>45291</v>
      </c>
      <c r="C113" t="s">
        <v>1107</v>
      </c>
      <c r="D113" t="s">
        <v>68</v>
      </c>
      <c r="E113" t="s">
        <v>25</v>
      </c>
      <c r="F113" t="s">
        <v>1238</v>
      </c>
      <c r="G113" t="s">
        <v>31</v>
      </c>
      <c r="H113">
        <v>7</v>
      </c>
      <c r="I113">
        <v>242.24</v>
      </c>
      <c r="J113">
        <v>10</v>
      </c>
      <c r="K113">
        <v>1526.11</v>
      </c>
      <c r="L113">
        <v>393.25</v>
      </c>
      <c r="M113">
        <v>2752.75</v>
      </c>
      <c r="N113">
        <v>33</v>
      </c>
      <c r="O113" t="s">
        <v>26</v>
      </c>
      <c r="P113" t="s">
        <v>20</v>
      </c>
    </row>
    <row r="114" spans="1:16">
      <c r="A114">
        <v>100645</v>
      </c>
      <c r="B114" s="4">
        <v>45011</v>
      </c>
      <c r="C114" t="s">
        <v>1105</v>
      </c>
      <c r="D114" t="s">
        <v>68</v>
      </c>
      <c r="E114" t="s">
        <v>25</v>
      </c>
      <c r="F114" t="s">
        <v>1239</v>
      </c>
      <c r="G114" t="s">
        <v>18</v>
      </c>
      <c r="H114">
        <v>2</v>
      </c>
      <c r="I114">
        <v>216.3</v>
      </c>
      <c r="J114">
        <v>0</v>
      </c>
      <c r="K114">
        <v>432.6</v>
      </c>
      <c r="L114">
        <v>118.14</v>
      </c>
      <c r="M114">
        <v>236.28</v>
      </c>
      <c r="N114">
        <v>28</v>
      </c>
      <c r="O114" t="s">
        <v>26</v>
      </c>
      <c r="P114" t="s">
        <v>20</v>
      </c>
    </row>
    <row r="115" spans="1:16">
      <c r="A115">
        <v>100991</v>
      </c>
      <c r="B115" s="4">
        <v>45597</v>
      </c>
      <c r="C115" t="s">
        <v>166</v>
      </c>
      <c r="D115" t="s">
        <v>42</v>
      </c>
      <c r="E115" t="s">
        <v>25</v>
      </c>
      <c r="F115" t="s">
        <v>1238</v>
      </c>
      <c r="G115" t="s">
        <v>31</v>
      </c>
      <c r="H115">
        <v>5</v>
      </c>
      <c r="I115">
        <v>157.84</v>
      </c>
      <c r="J115">
        <v>0</v>
      </c>
      <c r="K115">
        <v>789.2</v>
      </c>
      <c r="L115">
        <v>266.93</v>
      </c>
      <c r="M115">
        <v>1334.65</v>
      </c>
      <c r="N115">
        <v>22</v>
      </c>
      <c r="O115" t="s">
        <v>19</v>
      </c>
      <c r="P115" t="s">
        <v>51</v>
      </c>
    </row>
    <row r="116" spans="1:16">
      <c r="A116">
        <v>101171</v>
      </c>
      <c r="B116" s="4">
        <v>45240</v>
      </c>
      <c r="C116" t="s">
        <v>1102</v>
      </c>
      <c r="D116" t="s">
        <v>39</v>
      </c>
      <c r="E116" t="s">
        <v>25</v>
      </c>
      <c r="F116" t="s">
        <v>1237</v>
      </c>
      <c r="G116" t="s">
        <v>18</v>
      </c>
      <c r="H116">
        <v>3</v>
      </c>
      <c r="I116">
        <v>173.57</v>
      </c>
      <c r="J116">
        <v>5</v>
      </c>
      <c r="K116">
        <v>494.67</v>
      </c>
      <c r="L116">
        <v>161.69</v>
      </c>
      <c r="M116">
        <v>485.07</v>
      </c>
      <c r="N116">
        <v>35</v>
      </c>
      <c r="O116" t="s">
        <v>26</v>
      </c>
      <c r="P116" t="s">
        <v>43</v>
      </c>
    </row>
    <row r="117" spans="1:16">
      <c r="A117">
        <v>101078</v>
      </c>
      <c r="B117" s="4">
        <v>45880</v>
      </c>
      <c r="C117" t="s">
        <v>1092</v>
      </c>
      <c r="D117" t="s">
        <v>42</v>
      </c>
      <c r="E117" t="s">
        <v>25</v>
      </c>
      <c r="F117" t="s">
        <v>1241</v>
      </c>
      <c r="G117" t="s">
        <v>18</v>
      </c>
      <c r="H117">
        <v>2</v>
      </c>
      <c r="I117">
        <v>130.94999999999999</v>
      </c>
      <c r="J117">
        <v>40</v>
      </c>
      <c r="K117">
        <v>157.13999999999999</v>
      </c>
      <c r="L117">
        <v>45.5</v>
      </c>
      <c r="M117">
        <v>91</v>
      </c>
      <c r="N117">
        <v>16</v>
      </c>
      <c r="O117" t="s">
        <v>19</v>
      </c>
      <c r="P117" t="s">
        <v>51</v>
      </c>
    </row>
    <row r="118" spans="1:16">
      <c r="A118">
        <v>100001</v>
      </c>
      <c r="B118" s="4">
        <v>44957</v>
      </c>
      <c r="C118" t="s">
        <v>1088</v>
      </c>
      <c r="D118" t="s">
        <v>24</v>
      </c>
      <c r="E118" t="s">
        <v>25</v>
      </c>
      <c r="F118" t="s">
        <v>1238</v>
      </c>
      <c r="G118" t="s">
        <v>18</v>
      </c>
      <c r="H118">
        <v>2</v>
      </c>
      <c r="I118">
        <v>102.68</v>
      </c>
      <c r="J118">
        <v>20</v>
      </c>
      <c r="K118">
        <v>164.29</v>
      </c>
      <c r="L118">
        <v>44.52</v>
      </c>
      <c r="M118">
        <v>89.04</v>
      </c>
      <c r="N118">
        <v>25</v>
      </c>
      <c r="O118" t="s">
        <v>26</v>
      </c>
      <c r="P118" t="s">
        <v>32</v>
      </c>
    </row>
    <row r="119" spans="1:16">
      <c r="A119">
        <v>100158</v>
      </c>
      <c r="B119" s="4">
        <v>45085</v>
      </c>
      <c r="C119" t="s">
        <v>170</v>
      </c>
      <c r="D119" t="s">
        <v>24</v>
      </c>
      <c r="E119" t="s">
        <v>25</v>
      </c>
      <c r="F119" t="s">
        <v>1237</v>
      </c>
      <c r="G119" t="s">
        <v>31</v>
      </c>
      <c r="H119">
        <v>3</v>
      </c>
      <c r="I119">
        <v>112.55</v>
      </c>
      <c r="J119">
        <v>5</v>
      </c>
      <c r="K119">
        <v>320.77</v>
      </c>
      <c r="L119">
        <v>85.58</v>
      </c>
      <c r="M119">
        <v>256.74</v>
      </c>
      <c r="N119">
        <v>31</v>
      </c>
      <c r="O119" t="s">
        <v>26</v>
      </c>
      <c r="P119" t="s">
        <v>81</v>
      </c>
    </row>
    <row r="120" spans="1:16">
      <c r="A120">
        <v>100641</v>
      </c>
      <c r="B120" s="4">
        <v>45462</v>
      </c>
      <c r="C120" t="s">
        <v>1087</v>
      </c>
      <c r="D120" t="s">
        <v>100</v>
      </c>
      <c r="E120" t="s">
        <v>25</v>
      </c>
      <c r="F120" t="s">
        <v>1238</v>
      </c>
      <c r="G120" t="s">
        <v>31</v>
      </c>
      <c r="H120">
        <v>5</v>
      </c>
      <c r="I120">
        <v>129.19999999999999</v>
      </c>
      <c r="J120">
        <v>10</v>
      </c>
      <c r="K120">
        <v>581.4</v>
      </c>
      <c r="L120">
        <v>211.31</v>
      </c>
      <c r="M120">
        <v>1056.55</v>
      </c>
      <c r="N120">
        <v>31</v>
      </c>
      <c r="O120" t="s">
        <v>19</v>
      </c>
      <c r="P120" t="s">
        <v>27</v>
      </c>
    </row>
    <row r="121" spans="1:16">
      <c r="A121">
        <v>100192</v>
      </c>
      <c r="B121" s="4">
        <v>45793</v>
      </c>
      <c r="C121" t="s">
        <v>172</v>
      </c>
      <c r="D121" t="s">
        <v>24</v>
      </c>
      <c r="E121" t="s">
        <v>25</v>
      </c>
      <c r="F121" t="s">
        <v>1237</v>
      </c>
      <c r="G121" t="s">
        <v>31</v>
      </c>
      <c r="H121">
        <v>6</v>
      </c>
      <c r="I121">
        <v>108.77</v>
      </c>
      <c r="J121">
        <v>40</v>
      </c>
      <c r="K121">
        <v>391.57</v>
      </c>
      <c r="L121">
        <v>124.48</v>
      </c>
      <c r="M121">
        <v>746.88</v>
      </c>
      <c r="N121">
        <v>30</v>
      </c>
      <c r="O121" t="s">
        <v>26</v>
      </c>
      <c r="P121" t="s">
        <v>20</v>
      </c>
    </row>
    <row r="122" spans="1:16">
      <c r="A122">
        <v>100219</v>
      </c>
      <c r="B122" s="4">
        <v>45415</v>
      </c>
      <c r="C122" t="s">
        <v>1086</v>
      </c>
      <c r="D122" t="s">
        <v>73</v>
      </c>
      <c r="E122" t="s">
        <v>25</v>
      </c>
      <c r="F122" t="s">
        <v>1241</v>
      </c>
      <c r="G122" t="s">
        <v>18</v>
      </c>
      <c r="H122">
        <v>3</v>
      </c>
      <c r="I122">
        <v>37.83</v>
      </c>
      <c r="J122">
        <v>0</v>
      </c>
      <c r="K122">
        <v>113.49</v>
      </c>
      <c r="L122">
        <v>34.380000000000003</v>
      </c>
      <c r="M122">
        <v>103.14000000000001</v>
      </c>
      <c r="N122">
        <v>39</v>
      </c>
      <c r="O122" t="s">
        <v>26</v>
      </c>
      <c r="P122" t="s">
        <v>27</v>
      </c>
    </row>
    <row r="123" spans="1:16">
      <c r="A123">
        <v>100854</v>
      </c>
      <c r="B123" s="4">
        <v>45905</v>
      </c>
      <c r="C123" t="s">
        <v>1085</v>
      </c>
      <c r="D123" t="s">
        <v>100</v>
      </c>
      <c r="E123" t="s">
        <v>25</v>
      </c>
      <c r="F123" t="s">
        <v>1237</v>
      </c>
      <c r="G123" t="s">
        <v>64</v>
      </c>
      <c r="H123">
        <v>3</v>
      </c>
      <c r="I123">
        <v>132.88999999999999</v>
      </c>
      <c r="J123">
        <v>0</v>
      </c>
      <c r="K123">
        <v>398.67</v>
      </c>
      <c r="L123">
        <v>113.52</v>
      </c>
      <c r="M123">
        <v>340.56</v>
      </c>
      <c r="N123">
        <v>22</v>
      </c>
      <c r="O123" t="s">
        <v>26</v>
      </c>
      <c r="P123" t="s">
        <v>46</v>
      </c>
    </row>
    <row r="124" spans="1:16">
      <c r="A124">
        <v>101139</v>
      </c>
      <c r="B124" s="4">
        <v>45272</v>
      </c>
      <c r="C124" t="s">
        <v>1083</v>
      </c>
      <c r="D124" t="s">
        <v>39</v>
      </c>
      <c r="E124" t="s">
        <v>25</v>
      </c>
      <c r="F124" t="s">
        <v>1241</v>
      </c>
      <c r="G124" t="s">
        <v>48</v>
      </c>
      <c r="H124">
        <v>4</v>
      </c>
      <c r="I124">
        <v>173.14</v>
      </c>
      <c r="J124">
        <v>10</v>
      </c>
      <c r="K124">
        <v>623.29999999999995</v>
      </c>
      <c r="L124">
        <v>146.57</v>
      </c>
      <c r="M124">
        <v>586.28</v>
      </c>
      <c r="N124">
        <v>24</v>
      </c>
      <c r="O124" t="s">
        <v>19</v>
      </c>
      <c r="P124" t="s">
        <v>20</v>
      </c>
    </row>
    <row r="125" spans="1:16">
      <c r="A125">
        <v>100122</v>
      </c>
      <c r="B125" s="4">
        <v>45263</v>
      </c>
      <c r="C125" t="s">
        <v>1079</v>
      </c>
      <c r="D125" t="s">
        <v>68</v>
      </c>
      <c r="E125" t="s">
        <v>25</v>
      </c>
      <c r="F125" t="s">
        <v>1237</v>
      </c>
      <c r="G125" t="s">
        <v>18</v>
      </c>
      <c r="H125">
        <v>2</v>
      </c>
      <c r="I125">
        <v>215.43</v>
      </c>
      <c r="J125">
        <v>0</v>
      </c>
      <c r="K125">
        <v>430.86</v>
      </c>
      <c r="L125">
        <v>96.88</v>
      </c>
      <c r="M125">
        <v>193.76</v>
      </c>
      <c r="N125">
        <v>16</v>
      </c>
      <c r="O125" t="s">
        <v>122</v>
      </c>
      <c r="P125" t="s">
        <v>35</v>
      </c>
    </row>
    <row r="126" spans="1:16">
      <c r="A126">
        <v>100413</v>
      </c>
      <c r="B126" s="4">
        <v>45667</v>
      </c>
      <c r="C126" t="s">
        <v>177</v>
      </c>
      <c r="D126" t="s">
        <v>87</v>
      </c>
      <c r="E126" t="s">
        <v>25</v>
      </c>
      <c r="F126" t="s">
        <v>1237</v>
      </c>
      <c r="G126" t="s">
        <v>31</v>
      </c>
      <c r="H126">
        <v>2</v>
      </c>
      <c r="I126">
        <v>87.26</v>
      </c>
      <c r="J126">
        <v>0</v>
      </c>
      <c r="K126">
        <v>174.52</v>
      </c>
      <c r="L126">
        <v>46.1</v>
      </c>
      <c r="M126">
        <v>92.2</v>
      </c>
      <c r="N126">
        <v>31</v>
      </c>
      <c r="O126" t="s">
        <v>19</v>
      </c>
      <c r="P126" t="s">
        <v>20</v>
      </c>
    </row>
    <row r="127" spans="1:16">
      <c r="A127">
        <v>100400</v>
      </c>
      <c r="B127" s="4">
        <v>45267</v>
      </c>
      <c r="C127" t="s">
        <v>1078</v>
      </c>
      <c r="D127" t="s">
        <v>42</v>
      </c>
      <c r="E127" t="s">
        <v>25</v>
      </c>
      <c r="F127" t="s">
        <v>1241</v>
      </c>
      <c r="G127" t="s">
        <v>31</v>
      </c>
      <c r="H127">
        <v>1</v>
      </c>
      <c r="I127">
        <v>165.61</v>
      </c>
      <c r="J127">
        <v>5</v>
      </c>
      <c r="K127">
        <v>157.33000000000001</v>
      </c>
      <c r="L127">
        <v>47.35</v>
      </c>
      <c r="M127">
        <v>47.35</v>
      </c>
      <c r="N127">
        <v>28</v>
      </c>
      <c r="O127" t="s">
        <v>26</v>
      </c>
      <c r="P127" t="s">
        <v>35</v>
      </c>
    </row>
    <row r="128" spans="1:16">
      <c r="A128">
        <v>100327</v>
      </c>
      <c r="B128" s="4">
        <v>45177</v>
      </c>
      <c r="C128" t="s">
        <v>179</v>
      </c>
      <c r="D128" t="s">
        <v>70</v>
      </c>
      <c r="E128" t="s">
        <v>25</v>
      </c>
      <c r="F128" t="s">
        <v>1238</v>
      </c>
      <c r="G128" t="s">
        <v>18</v>
      </c>
      <c r="H128">
        <v>1</v>
      </c>
      <c r="I128">
        <v>172.06</v>
      </c>
      <c r="J128">
        <v>5</v>
      </c>
      <c r="K128">
        <v>163.46</v>
      </c>
      <c r="L128">
        <v>33.630000000000003</v>
      </c>
      <c r="M128">
        <v>33.630000000000003</v>
      </c>
      <c r="N128">
        <v>27</v>
      </c>
      <c r="O128" t="s">
        <v>19</v>
      </c>
      <c r="P128" t="s">
        <v>81</v>
      </c>
    </row>
    <row r="129" spans="1:16">
      <c r="A129">
        <v>100293</v>
      </c>
      <c r="B129" s="4">
        <v>45222</v>
      </c>
      <c r="C129" t="s">
        <v>1076</v>
      </c>
      <c r="D129" t="s">
        <v>68</v>
      </c>
      <c r="E129" t="s">
        <v>25</v>
      </c>
      <c r="F129" t="s">
        <v>1239</v>
      </c>
      <c r="G129" t="s">
        <v>31</v>
      </c>
      <c r="H129">
        <v>4</v>
      </c>
      <c r="I129">
        <v>225.31</v>
      </c>
      <c r="J129">
        <v>20</v>
      </c>
      <c r="K129">
        <v>720.99</v>
      </c>
      <c r="L129">
        <v>212.69</v>
      </c>
      <c r="M129">
        <v>850.76</v>
      </c>
      <c r="N129">
        <v>28</v>
      </c>
      <c r="O129" t="s">
        <v>19</v>
      </c>
      <c r="P129" t="s">
        <v>81</v>
      </c>
    </row>
    <row r="130" spans="1:16">
      <c r="A130">
        <v>100981</v>
      </c>
      <c r="B130" s="4">
        <v>45192</v>
      </c>
      <c r="C130" t="s">
        <v>1072</v>
      </c>
      <c r="D130" t="s">
        <v>87</v>
      </c>
      <c r="E130" t="s">
        <v>25</v>
      </c>
      <c r="F130" t="s">
        <v>1241</v>
      </c>
      <c r="G130" t="s">
        <v>18</v>
      </c>
      <c r="H130">
        <v>4</v>
      </c>
      <c r="I130">
        <v>82.89</v>
      </c>
      <c r="J130">
        <v>5</v>
      </c>
      <c r="K130">
        <v>314.98</v>
      </c>
      <c r="L130">
        <v>108.31</v>
      </c>
      <c r="M130">
        <v>433.24</v>
      </c>
      <c r="N130">
        <v>28</v>
      </c>
      <c r="O130" t="s">
        <v>19</v>
      </c>
      <c r="P130" t="s">
        <v>51</v>
      </c>
    </row>
    <row r="131" spans="1:16">
      <c r="A131">
        <v>100630</v>
      </c>
      <c r="B131" s="4">
        <v>45587</v>
      </c>
      <c r="C131" t="s">
        <v>182</v>
      </c>
      <c r="D131" t="s">
        <v>70</v>
      </c>
      <c r="E131" t="s">
        <v>25</v>
      </c>
      <c r="F131" t="s">
        <v>1237</v>
      </c>
      <c r="G131" t="s">
        <v>48</v>
      </c>
      <c r="H131">
        <v>4</v>
      </c>
      <c r="I131">
        <v>149.07</v>
      </c>
      <c r="J131">
        <v>10</v>
      </c>
      <c r="K131">
        <v>536.65</v>
      </c>
      <c r="L131">
        <v>128.91999999999999</v>
      </c>
      <c r="M131">
        <v>515.67999999999995</v>
      </c>
      <c r="N131">
        <v>27</v>
      </c>
      <c r="O131" t="s">
        <v>19</v>
      </c>
      <c r="P131" t="s">
        <v>81</v>
      </c>
    </row>
    <row r="132" spans="1:16">
      <c r="A132">
        <v>100274</v>
      </c>
      <c r="B132" s="4">
        <v>45367</v>
      </c>
      <c r="C132" t="s">
        <v>183</v>
      </c>
      <c r="D132" t="s">
        <v>100</v>
      </c>
      <c r="E132" t="s">
        <v>25</v>
      </c>
      <c r="F132" t="s">
        <v>1238</v>
      </c>
      <c r="G132" t="s">
        <v>64</v>
      </c>
      <c r="H132">
        <v>2</v>
      </c>
      <c r="I132">
        <v>138.44999999999999</v>
      </c>
      <c r="J132">
        <v>10</v>
      </c>
      <c r="K132">
        <v>249.21</v>
      </c>
      <c r="L132">
        <v>81.96</v>
      </c>
      <c r="M132">
        <v>163.92</v>
      </c>
      <c r="N132">
        <v>33</v>
      </c>
      <c r="O132" t="s">
        <v>26</v>
      </c>
      <c r="P132" t="s">
        <v>43</v>
      </c>
    </row>
    <row r="133" spans="1:16">
      <c r="A133">
        <v>100143</v>
      </c>
      <c r="B133" s="4">
        <v>45223</v>
      </c>
      <c r="C133" t="s">
        <v>1070</v>
      </c>
      <c r="D133" t="s">
        <v>87</v>
      </c>
      <c r="E133" t="s">
        <v>25</v>
      </c>
      <c r="F133" t="s">
        <v>1240</v>
      </c>
      <c r="G133" t="s">
        <v>18</v>
      </c>
      <c r="H133">
        <v>4</v>
      </c>
      <c r="I133">
        <v>102.9</v>
      </c>
      <c r="J133">
        <v>5</v>
      </c>
      <c r="K133">
        <v>391.02</v>
      </c>
      <c r="L133">
        <v>106.05</v>
      </c>
      <c r="M133">
        <v>424.2</v>
      </c>
      <c r="N133">
        <v>30</v>
      </c>
      <c r="O133" t="s">
        <v>19</v>
      </c>
      <c r="P133" t="s">
        <v>46</v>
      </c>
    </row>
    <row r="134" spans="1:16">
      <c r="A134">
        <v>100186</v>
      </c>
      <c r="B134" s="4">
        <v>45800</v>
      </c>
      <c r="C134" t="s">
        <v>1068</v>
      </c>
      <c r="D134" t="s">
        <v>24</v>
      </c>
      <c r="E134" t="s">
        <v>25</v>
      </c>
      <c r="F134" t="s">
        <v>1239</v>
      </c>
      <c r="G134" t="s">
        <v>18</v>
      </c>
      <c r="H134">
        <v>4</v>
      </c>
      <c r="I134">
        <v>82.96</v>
      </c>
      <c r="J134">
        <v>5</v>
      </c>
      <c r="K134">
        <v>315.25</v>
      </c>
      <c r="L134">
        <v>106.56</v>
      </c>
      <c r="M134">
        <v>426.24</v>
      </c>
      <c r="N134">
        <v>22</v>
      </c>
      <c r="O134" t="s">
        <v>26</v>
      </c>
      <c r="P134" t="s">
        <v>43</v>
      </c>
    </row>
    <row r="135" spans="1:16">
      <c r="A135">
        <v>100659</v>
      </c>
      <c r="B135" s="4">
        <v>45038</v>
      </c>
      <c r="C135" t="s">
        <v>1066</v>
      </c>
      <c r="D135" t="s">
        <v>68</v>
      </c>
      <c r="E135" t="s">
        <v>25</v>
      </c>
      <c r="F135" t="s">
        <v>1238</v>
      </c>
      <c r="G135" t="s">
        <v>31</v>
      </c>
      <c r="H135">
        <v>3</v>
      </c>
      <c r="I135">
        <v>199.43</v>
      </c>
      <c r="J135">
        <v>0</v>
      </c>
      <c r="K135">
        <v>598.29</v>
      </c>
      <c r="L135">
        <v>224.28</v>
      </c>
      <c r="M135">
        <v>672.84</v>
      </c>
      <c r="N135">
        <v>44</v>
      </c>
      <c r="O135" t="s">
        <v>26</v>
      </c>
      <c r="P135" t="s">
        <v>46</v>
      </c>
    </row>
    <row r="136" spans="1:16">
      <c r="A136">
        <v>100954</v>
      </c>
      <c r="B136" s="4">
        <v>45085</v>
      </c>
      <c r="C136" t="s">
        <v>1064</v>
      </c>
      <c r="D136" t="s">
        <v>73</v>
      </c>
      <c r="E136" t="s">
        <v>25</v>
      </c>
      <c r="F136" t="s">
        <v>1239</v>
      </c>
      <c r="G136" t="s">
        <v>31</v>
      </c>
      <c r="H136">
        <v>2</v>
      </c>
      <c r="I136">
        <v>33.6</v>
      </c>
      <c r="J136">
        <v>10</v>
      </c>
      <c r="K136">
        <v>60.48</v>
      </c>
      <c r="L136">
        <v>17.829999999999998</v>
      </c>
      <c r="M136">
        <v>35.659999999999997</v>
      </c>
      <c r="N136">
        <v>32</v>
      </c>
      <c r="O136" t="s">
        <v>26</v>
      </c>
      <c r="P136" t="s">
        <v>32</v>
      </c>
    </row>
    <row r="137" spans="1:16">
      <c r="A137">
        <v>100931</v>
      </c>
      <c r="B137" s="4">
        <v>45788</v>
      </c>
      <c r="C137" t="s">
        <v>1063</v>
      </c>
      <c r="D137" t="s">
        <v>42</v>
      </c>
      <c r="E137" t="s">
        <v>25</v>
      </c>
      <c r="F137" t="s">
        <v>1241</v>
      </c>
      <c r="G137" t="s">
        <v>18</v>
      </c>
      <c r="H137">
        <v>4</v>
      </c>
      <c r="I137">
        <v>174.33</v>
      </c>
      <c r="J137">
        <v>20</v>
      </c>
      <c r="K137">
        <v>557.86</v>
      </c>
      <c r="L137">
        <v>139.22999999999999</v>
      </c>
      <c r="M137">
        <v>556.91999999999996</v>
      </c>
      <c r="N137">
        <v>16</v>
      </c>
      <c r="O137" t="s">
        <v>26</v>
      </c>
      <c r="P137" t="s">
        <v>32</v>
      </c>
    </row>
    <row r="138" spans="1:16">
      <c r="A138">
        <v>100146</v>
      </c>
      <c r="B138" s="4">
        <v>45168</v>
      </c>
      <c r="C138" t="s">
        <v>1058</v>
      </c>
      <c r="D138" t="s">
        <v>87</v>
      </c>
      <c r="E138" t="s">
        <v>25</v>
      </c>
      <c r="F138" t="s">
        <v>1241</v>
      </c>
      <c r="G138" t="s">
        <v>31</v>
      </c>
      <c r="H138">
        <v>3</v>
      </c>
      <c r="I138">
        <v>77.599999999999994</v>
      </c>
      <c r="J138">
        <v>10</v>
      </c>
      <c r="K138">
        <v>209.52</v>
      </c>
      <c r="L138">
        <v>72.59</v>
      </c>
      <c r="M138">
        <v>217.77</v>
      </c>
      <c r="N138">
        <v>29</v>
      </c>
      <c r="O138" t="s">
        <v>19</v>
      </c>
      <c r="P138" t="s">
        <v>27</v>
      </c>
    </row>
    <row r="139" spans="1:16">
      <c r="A139">
        <v>100710</v>
      </c>
      <c r="B139" s="4">
        <v>45273</v>
      </c>
      <c r="C139" t="s">
        <v>1055</v>
      </c>
      <c r="D139" t="s">
        <v>87</v>
      </c>
      <c r="E139" t="s">
        <v>25</v>
      </c>
      <c r="F139" t="s">
        <v>1239</v>
      </c>
      <c r="G139" t="s">
        <v>18</v>
      </c>
      <c r="H139">
        <v>2</v>
      </c>
      <c r="I139">
        <v>75.56</v>
      </c>
      <c r="J139">
        <v>0</v>
      </c>
      <c r="K139">
        <v>151.12</v>
      </c>
      <c r="L139">
        <v>33.24</v>
      </c>
      <c r="M139">
        <v>66.48</v>
      </c>
      <c r="N139">
        <v>22</v>
      </c>
      <c r="O139" t="s">
        <v>19</v>
      </c>
      <c r="P139" t="s">
        <v>20</v>
      </c>
    </row>
    <row r="140" spans="1:16">
      <c r="A140">
        <v>100819</v>
      </c>
      <c r="B140" s="4">
        <v>45433</v>
      </c>
      <c r="C140" t="s">
        <v>1054</v>
      </c>
      <c r="D140" t="s">
        <v>100</v>
      </c>
      <c r="E140" t="s">
        <v>25</v>
      </c>
      <c r="F140" t="s">
        <v>1238</v>
      </c>
      <c r="G140" t="s">
        <v>31</v>
      </c>
      <c r="H140">
        <v>2</v>
      </c>
      <c r="I140">
        <v>140.96</v>
      </c>
      <c r="J140">
        <v>0</v>
      </c>
      <c r="K140">
        <v>281.92</v>
      </c>
      <c r="L140">
        <v>97.1</v>
      </c>
      <c r="M140">
        <v>194.2</v>
      </c>
      <c r="N140">
        <v>32</v>
      </c>
      <c r="O140" t="s">
        <v>26</v>
      </c>
      <c r="P140" t="s">
        <v>20</v>
      </c>
    </row>
    <row r="141" spans="1:16">
      <c r="A141">
        <v>100488</v>
      </c>
      <c r="B141" s="4">
        <v>45728</v>
      </c>
      <c r="C141" t="s">
        <v>1053</v>
      </c>
      <c r="D141" t="s">
        <v>42</v>
      </c>
      <c r="E141" t="s">
        <v>25</v>
      </c>
      <c r="F141" t="s">
        <v>1238</v>
      </c>
      <c r="G141" t="s">
        <v>31</v>
      </c>
      <c r="H141">
        <v>1</v>
      </c>
      <c r="I141">
        <v>143.94</v>
      </c>
      <c r="J141">
        <v>10</v>
      </c>
      <c r="K141">
        <v>129.55000000000001</v>
      </c>
      <c r="L141">
        <v>29.34</v>
      </c>
      <c r="M141">
        <v>29.34</v>
      </c>
      <c r="N141">
        <v>25</v>
      </c>
      <c r="O141" t="s">
        <v>19</v>
      </c>
      <c r="P141" t="s">
        <v>81</v>
      </c>
    </row>
    <row r="142" spans="1:16">
      <c r="A142">
        <v>100935</v>
      </c>
      <c r="B142" s="4">
        <v>45131</v>
      </c>
      <c r="C142" t="s">
        <v>1051</v>
      </c>
      <c r="D142" t="s">
        <v>24</v>
      </c>
      <c r="E142" t="s">
        <v>25</v>
      </c>
      <c r="F142" t="s">
        <v>1241</v>
      </c>
      <c r="G142" t="s">
        <v>18</v>
      </c>
      <c r="H142">
        <v>1</v>
      </c>
      <c r="I142">
        <v>76.73</v>
      </c>
      <c r="J142">
        <v>10</v>
      </c>
      <c r="K142">
        <v>69.06</v>
      </c>
      <c r="L142">
        <v>23.17</v>
      </c>
      <c r="M142">
        <v>23.17</v>
      </c>
      <c r="N142">
        <v>54</v>
      </c>
      <c r="O142" t="s">
        <v>19</v>
      </c>
      <c r="P142" t="s">
        <v>27</v>
      </c>
    </row>
    <row r="143" spans="1:16">
      <c r="A143">
        <v>100550</v>
      </c>
      <c r="B143" s="4">
        <v>45691</v>
      </c>
      <c r="C143" t="s">
        <v>1049</v>
      </c>
      <c r="D143" t="s">
        <v>87</v>
      </c>
      <c r="E143" t="s">
        <v>25</v>
      </c>
      <c r="F143" t="s">
        <v>1237</v>
      </c>
      <c r="G143" t="s">
        <v>31</v>
      </c>
      <c r="H143">
        <v>3</v>
      </c>
      <c r="I143">
        <v>87.2</v>
      </c>
      <c r="J143">
        <v>0</v>
      </c>
      <c r="K143">
        <v>261.60000000000002</v>
      </c>
      <c r="L143">
        <v>63.47</v>
      </c>
      <c r="M143">
        <v>190.41</v>
      </c>
      <c r="N143">
        <v>16</v>
      </c>
      <c r="O143" t="s">
        <v>19</v>
      </c>
      <c r="P143" t="s">
        <v>32</v>
      </c>
    </row>
    <row r="144" spans="1:16">
      <c r="A144">
        <v>100952</v>
      </c>
      <c r="B144" s="4">
        <v>45364</v>
      </c>
      <c r="C144" t="s">
        <v>1043</v>
      </c>
      <c r="D144" t="s">
        <v>24</v>
      </c>
      <c r="E144" t="s">
        <v>25</v>
      </c>
      <c r="F144" t="s">
        <v>1239</v>
      </c>
      <c r="G144" t="s">
        <v>31</v>
      </c>
      <c r="H144">
        <v>4</v>
      </c>
      <c r="I144">
        <v>95.66</v>
      </c>
      <c r="J144">
        <v>0</v>
      </c>
      <c r="K144">
        <v>382.64</v>
      </c>
      <c r="L144">
        <v>106.68</v>
      </c>
      <c r="M144">
        <v>426.72</v>
      </c>
      <c r="N144">
        <v>39</v>
      </c>
      <c r="O144" t="s">
        <v>26</v>
      </c>
      <c r="P144" t="s">
        <v>35</v>
      </c>
    </row>
    <row r="145" spans="1:16">
      <c r="A145">
        <v>100636</v>
      </c>
      <c r="B145" s="4">
        <v>45222</v>
      </c>
      <c r="C145" t="s">
        <v>196</v>
      </c>
      <c r="D145" t="s">
        <v>68</v>
      </c>
      <c r="E145" t="s">
        <v>25</v>
      </c>
      <c r="F145" t="s">
        <v>1241</v>
      </c>
      <c r="G145" t="s">
        <v>18</v>
      </c>
      <c r="H145">
        <v>3</v>
      </c>
      <c r="I145">
        <v>228.65</v>
      </c>
      <c r="J145">
        <v>10</v>
      </c>
      <c r="K145">
        <v>617.36</v>
      </c>
      <c r="L145">
        <v>202.8</v>
      </c>
      <c r="M145">
        <v>608.40000000000009</v>
      </c>
      <c r="N145">
        <v>34</v>
      </c>
      <c r="O145" t="s">
        <v>19</v>
      </c>
      <c r="P145" t="s">
        <v>46</v>
      </c>
    </row>
    <row r="146" spans="1:16">
      <c r="A146">
        <v>100767</v>
      </c>
      <c r="B146" s="4">
        <v>45170</v>
      </c>
      <c r="C146" t="s">
        <v>197</v>
      </c>
      <c r="D146" t="s">
        <v>100</v>
      </c>
      <c r="E146" t="s">
        <v>25</v>
      </c>
      <c r="F146" t="s">
        <v>1237</v>
      </c>
      <c r="G146" t="s">
        <v>18</v>
      </c>
      <c r="H146">
        <v>5</v>
      </c>
      <c r="I146">
        <v>121.9</v>
      </c>
      <c r="J146">
        <v>10</v>
      </c>
      <c r="K146">
        <v>548.54999999999995</v>
      </c>
      <c r="L146">
        <v>197.81</v>
      </c>
      <c r="M146">
        <v>989.05</v>
      </c>
      <c r="N146">
        <v>26</v>
      </c>
      <c r="O146" t="s">
        <v>19</v>
      </c>
      <c r="P146" t="s">
        <v>32</v>
      </c>
    </row>
    <row r="147" spans="1:16">
      <c r="A147">
        <v>100414</v>
      </c>
      <c r="B147" s="4">
        <v>45029</v>
      </c>
      <c r="C147" t="s">
        <v>1039</v>
      </c>
      <c r="D147" t="s">
        <v>42</v>
      </c>
      <c r="E147" t="s">
        <v>25</v>
      </c>
      <c r="F147" t="s">
        <v>1239</v>
      </c>
      <c r="G147" t="s">
        <v>18</v>
      </c>
      <c r="H147">
        <v>4</v>
      </c>
      <c r="I147">
        <v>162.08000000000001</v>
      </c>
      <c r="J147">
        <v>0</v>
      </c>
      <c r="K147">
        <v>648.32000000000005</v>
      </c>
      <c r="L147">
        <v>195.84</v>
      </c>
      <c r="M147">
        <v>783.36</v>
      </c>
      <c r="N147">
        <v>30</v>
      </c>
      <c r="O147" t="s">
        <v>19</v>
      </c>
      <c r="P147" t="s">
        <v>32</v>
      </c>
    </row>
    <row r="148" spans="1:16">
      <c r="A148">
        <v>100717</v>
      </c>
      <c r="B148" s="4">
        <v>45017</v>
      </c>
      <c r="C148" t="s">
        <v>199</v>
      </c>
      <c r="D148" t="s">
        <v>39</v>
      </c>
      <c r="E148" t="s">
        <v>25</v>
      </c>
      <c r="F148" t="s">
        <v>1239</v>
      </c>
      <c r="G148" t="s">
        <v>18</v>
      </c>
      <c r="H148">
        <v>3</v>
      </c>
      <c r="I148">
        <v>164.39</v>
      </c>
      <c r="J148">
        <v>5</v>
      </c>
      <c r="K148">
        <v>468.51</v>
      </c>
      <c r="L148">
        <v>126.16</v>
      </c>
      <c r="M148">
        <v>378.48</v>
      </c>
      <c r="N148">
        <v>24</v>
      </c>
      <c r="O148" t="s">
        <v>19</v>
      </c>
      <c r="P148" t="s">
        <v>35</v>
      </c>
    </row>
    <row r="149" spans="1:16">
      <c r="A149">
        <v>100297</v>
      </c>
      <c r="B149" s="4">
        <v>45482</v>
      </c>
      <c r="C149" t="s">
        <v>1037</v>
      </c>
      <c r="D149" t="s">
        <v>70</v>
      </c>
      <c r="E149" t="s">
        <v>25</v>
      </c>
      <c r="F149" t="s">
        <v>1238</v>
      </c>
      <c r="G149" t="s">
        <v>18</v>
      </c>
      <c r="H149">
        <v>2</v>
      </c>
      <c r="I149">
        <v>156.19</v>
      </c>
      <c r="J149">
        <v>0</v>
      </c>
      <c r="K149">
        <v>312.38</v>
      </c>
      <c r="L149">
        <v>69.31</v>
      </c>
      <c r="M149">
        <v>138.62</v>
      </c>
      <c r="N149">
        <v>25</v>
      </c>
      <c r="O149" t="s">
        <v>26</v>
      </c>
      <c r="P149" t="s">
        <v>51</v>
      </c>
    </row>
    <row r="150" spans="1:16">
      <c r="A150">
        <v>100597</v>
      </c>
      <c r="B150" s="4">
        <v>45801</v>
      </c>
      <c r="C150" t="s">
        <v>201</v>
      </c>
      <c r="D150" t="s">
        <v>70</v>
      </c>
      <c r="E150" t="s">
        <v>25</v>
      </c>
      <c r="F150" t="s">
        <v>1239</v>
      </c>
      <c r="G150" t="s">
        <v>18</v>
      </c>
      <c r="H150">
        <v>4</v>
      </c>
      <c r="I150">
        <v>163.38999999999999</v>
      </c>
      <c r="J150">
        <v>0</v>
      </c>
      <c r="K150">
        <v>653.55999999999995</v>
      </c>
      <c r="L150">
        <v>153.12</v>
      </c>
      <c r="M150">
        <v>612.48</v>
      </c>
      <c r="N150">
        <v>44</v>
      </c>
      <c r="O150" t="s">
        <v>19</v>
      </c>
      <c r="P150" t="s">
        <v>81</v>
      </c>
    </row>
    <row r="151" spans="1:16">
      <c r="A151">
        <v>100481</v>
      </c>
      <c r="B151" s="4">
        <v>45850</v>
      </c>
      <c r="C151" t="s">
        <v>202</v>
      </c>
      <c r="D151" t="s">
        <v>100</v>
      </c>
      <c r="E151" t="s">
        <v>25</v>
      </c>
      <c r="F151" t="s">
        <v>1241</v>
      </c>
      <c r="G151" t="s">
        <v>64</v>
      </c>
      <c r="H151">
        <v>3</v>
      </c>
      <c r="I151">
        <v>116.64</v>
      </c>
      <c r="J151">
        <v>0</v>
      </c>
      <c r="K151">
        <v>349.92</v>
      </c>
      <c r="L151">
        <v>99.73</v>
      </c>
      <c r="M151">
        <v>299.19</v>
      </c>
      <c r="N151">
        <v>29</v>
      </c>
      <c r="O151" t="s">
        <v>19</v>
      </c>
      <c r="P151" t="s">
        <v>32</v>
      </c>
    </row>
    <row r="152" spans="1:16">
      <c r="A152">
        <v>100610</v>
      </c>
      <c r="B152" s="4">
        <v>45214</v>
      </c>
      <c r="C152" t="s">
        <v>1036</v>
      </c>
      <c r="D152" t="s">
        <v>39</v>
      </c>
      <c r="E152" t="s">
        <v>25</v>
      </c>
      <c r="F152" t="s">
        <v>1238</v>
      </c>
      <c r="G152" t="s">
        <v>31</v>
      </c>
      <c r="H152">
        <v>3</v>
      </c>
      <c r="I152">
        <v>189.4</v>
      </c>
      <c r="J152">
        <v>5</v>
      </c>
      <c r="K152">
        <v>539.79</v>
      </c>
      <c r="L152">
        <v>131.22999999999999</v>
      </c>
      <c r="M152">
        <v>393.68999999999994</v>
      </c>
      <c r="N152">
        <v>22</v>
      </c>
      <c r="O152" t="s">
        <v>26</v>
      </c>
      <c r="P152" t="s">
        <v>32</v>
      </c>
    </row>
    <row r="153" spans="1:16">
      <c r="A153">
        <v>100314</v>
      </c>
      <c r="B153" s="4">
        <v>45807</v>
      </c>
      <c r="C153" t="s">
        <v>204</v>
      </c>
      <c r="D153" t="s">
        <v>73</v>
      </c>
      <c r="E153" t="s">
        <v>25</v>
      </c>
      <c r="F153" t="s">
        <v>1241</v>
      </c>
      <c r="G153" t="s">
        <v>31</v>
      </c>
      <c r="H153">
        <v>1</v>
      </c>
      <c r="I153">
        <v>36.619999999999997</v>
      </c>
      <c r="J153">
        <v>10</v>
      </c>
      <c r="K153">
        <v>32.96</v>
      </c>
      <c r="L153">
        <v>10.42</v>
      </c>
      <c r="M153">
        <v>10.42</v>
      </c>
      <c r="N153">
        <v>23</v>
      </c>
      <c r="O153" t="s">
        <v>19</v>
      </c>
      <c r="P153" t="s">
        <v>32</v>
      </c>
    </row>
    <row r="154" spans="1:16">
      <c r="A154">
        <v>100262</v>
      </c>
      <c r="B154" s="4">
        <v>44943</v>
      </c>
      <c r="C154" t="s">
        <v>1035</v>
      </c>
      <c r="D154" t="s">
        <v>73</v>
      </c>
      <c r="E154" t="s">
        <v>25</v>
      </c>
      <c r="F154" t="s">
        <v>1237</v>
      </c>
      <c r="G154" t="s">
        <v>31</v>
      </c>
      <c r="H154">
        <v>5</v>
      </c>
      <c r="I154">
        <v>41.04</v>
      </c>
      <c r="J154">
        <v>0</v>
      </c>
      <c r="K154">
        <v>205.2</v>
      </c>
      <c r="L154">
        <v>55.35</v>
      </c>
      <c r="M154">
        <v>276.75</v>
      </c>
      <c r="N154">
        <v>20</v>
      </c>
      <c r="O154" t="s">
        <v>26</v>
      </c>
      <c r="P154" t="s">
        <v>27</v>
      </c>
    </row>
    <row r="155" spans="1:16">
      <c r="A155">
        <v>101030</v>
      </c>
      <c r="B155" s="4">
        <v>45061</v>
      </c>
      <c r="C155" t="s">
        <v>1033</v>
      </c>
      <c r="D155" t="s">
        <v>87</v>
      </c>
      <c r="E155" t="s">
        <v>25</v>
      </c>
      <c r="F155" t="s">
        <v>1237</v>
      </c>
      <c r="G155" t="s">
        <v>18</v>
      </c>
      <c r="H155">
        <v>5</v>
      </c>
      <c r="I155">
        <v>86.12</v>
      </c>
      <c r="J155">
        <v>0</v>
      </c>
      <c r="K155">
        <v>430.6</v>
      </c>
      <c r="L155">
        <v>99.43</v>
      </c>
      <c r="M155">
        <v>497.15000000000003</v>
      </c>
      <c r="N155">
        <v>20</v>
      </c>
      <c r="O155" t="s">
        <v>26</v>
      </c>
      <c r="P155" t="s">
        <v>81</v>
      </c>
    </row>
    <row r="156" spans="1:16">
      <c r="A156">
        <v>100933</v>
      </c>
      <c r="B156" s="4">
        <v>45379</v>
      </c>
      <c r="C156" t="s">
        <v>207</v>
      </c>
      <c r="D156" t="s">
        <v>70</v>
      </c>
      <c r="E156" t="s">
        <v>25</v>
      </c>
      <c r="F156" t="s">
        <v>1237</v>
      </c>
      <c r="G156" t="s">
        <v>31</v>
      </c>
      <c r="H156">
        <v>4</v>
      </c>
      <c r="I156">
        <v>160.63999999999999</v>
      </c>
      <c r="J156">
        <v>0</v>
      </c>
      <c r="K156">
        <v>642.55999999999995</v>
      </c>
      <c r="L156">
        <v>185.67</v>
      </c>
      <c r="M156">
        <v>742.68</v>
      </c>
      <c r="N156">
        <v>30</v>
      </c>
      <c r="O156" t="s">
        <v>19</v>
      </c>
      <c r="P156" t="s">
        <v>27</v>
      </c>
    </row>
    <row r="157" spans="1:16">
      <c r="A157">
        <v>100433</v>
      </c>
      <c r="B157" s="4">
        <v>45355</v>
      </c>
      <c r="C157" t="s">
        <v>208</v>
      </c>
      <c r="D157" t="s">
        <v>100</v>
      </c>
      <c r="E157" t="s">
        <v>25</v>
      </c>
      <c r="F157" t="s">
        <v>1237</v>
      </c>
      <c r="G157" t="s">
        <v>18</v>
      </c>
      <c r="H157">
        <v>2</v>
      </c>
      <c r="I157">
        <v>144.58000000000001</v>
      </c>
      <c r="J157">
        <v>0</v>
      </c>
      <c r="K157">
        <v>289.16000000000003</v>
      </c>
      <c r="L157">
        <v>96.15</v>
      </c>
      <c r="M157">
        <v>192.3</v>
      </c>
      <c r="N157">
        <v>17</v>
      </c>
      <c r="O157" t="s">
        <v>19</v>
      </c>
      <c r="P157" t="s">
        <v>20</v>
      </c>
    </row>
    <row r="158" spans="1:16">
      <c r="A158">
        <v>101144</v>
      </c>
      <c r="B158" s="4">
        <v>45874</v>
      </c>
      <c r="C158" t="s">
        <v>1032</v>
      </c>
      <c r="D158" t="s">
        <v>68</v>
      </c>
      <c r="E158" t="s">
        <v>25</v>
      </c>
      <c r="F158" t="s">
        <v>1241</v>
      </c>
      <c r="G158" t="s">
        <v>18</v>
      </c>
      <c r="H158">
        <v>3</v>
      </c>
      <c r="I158">
        <v>228.98</v>
      </c>
      <c r="J158">
        <v>0</v>
      </c>
      <c r="K158">
        <v>686.94</v>
      </c>
      <c r="L158">
        <v>181.13</v>
      </c>
      <c r="M158">
        <v>543.39</v>
      </c>
      <c r="N158">
        <v>34</v>
      </c>
      <c r="O158" t="s">
        <v>26</v>
      </c>
      <c r="P158" t="s">
        <v>32</v>
      </c>
    </row>
    <row r="159" spans="1:16">
      <c r="A159">
        <v>100623</v>
      </c>
      <c r="B159" s="4">
        <v>45074</v>
      </c>
      <c r="C159" t="s">
        <v>1031</v>
      </c>
      <c r="D159" t="s">
        <v>100</v>
      </c>
      <c r="E159" t="s">
        <v>25</v>
      </c>
      <c r="F159" t="s">
        <v>1238</v>
      </c>
      <c r="G159" t="s">
        <v>18</v>
      </c>
      <c r="H159">
        <v>3</v>
      </c>
      <c r="I159">
        <v>144.21</v>
      </c>
      <c r="J159">
        <v>40</v>
      </c>
      <c r="K159">
        <v>259.58</v>
      </c>
      <c r="L159">
        <v>84.4</v>
      </c>
      <c r="M159">
        <v>253.20000000000002</v>
      </c>
      <c r="N159">
        <v>44</v>
      </c>
      <c r="O159" t="s">
        <v>19</v>
      </c>
      <c r="P159" t="s">
        <v>43</v>
      </c>
    </row>
    <row r="160" spans="1:16">
      <c r="A160">
        <v>100880</v>
      </c>
      <c r="B160" s="4">
        <v>45907</v>
      </c>
      <c r="C160" t="s">
        <v>1029</v>
      </c>
      <c r="D160" t="s">
        <v>24</v>
      </c>
      <c r="E160" t="s">
        <v>25</v>
      </c>
      <c r="F160" t="s">
        <v>1241</v>
      </c>
      <c r="G160" t="s">
        <v>18</v>
      </c>
      <c r="H160">
        <v>5</v>
      </c>
      <c r="I160">
        <v>99.39</v>
      </c>
      <c r="J160">
        <v>0</v>
      </c>
      <c r="K160">
        <v>496.95</v>
      </c>
      <c r="L160">
        <v>145.88999999999999</v>
      </c>
      <c r="M160">
        <v>729.44999999999993</v>
      </c>
      <c r="N160">
        <v>33</v>
      </c>
      <c r="O160" t="s">
        <v>26</v>
      </c>
      <c r="P160" t="s">
        <v>27</v>
      </c>
    </row>
    <row r="161" spans="1:16">
      <c r="A161">
        <v>100303</v>
      </c>
      <c r="B161" s="4">
        <v>45389</v>
      </c>
      <c r="C161" t="s">
        <v>1026</v>
      </c>
      <c r="D161" t="s">
        <v>24</v>
      </c>
      <c r="E161" t="s">
        <v>25</v>
      </c>
      <c r="F161" t="s">
        <v>1239</v>
      </c>
      <c r="G161" t="s">
        <v>18</v>
      </c>
      <c r="H161">
        <v>4</v>
      </c>
      <c r="I161">
        <v>110.28</v>
      </c>
      <c r="J161">
        <v>0</v>
      </c>
      <c r="K161">
        <v>441.12</v>
      </c>
      <c r="L161">
        <v>163.15</v>
      </c>
      <c r="M161">
        <v>652.6</v>
      </c>
      <c r="N161">
        <v>30</v>
      </c>
      <c r="O161" t="s">
        <v>26</v>
      </c>
      <c r="P161" t="s">
        <v>20</v>
      </c>
    </row>
    <row r="162" spans="1:16">
      <c r="A162">
        <v>100036</v>
      </c>
      <c r="B162" s="4">
        <v>45004</v>
      </c>
      <c r="C162" t="s">
        <v>1022</v>
      </c>
      <c r="D162" t="s">
        <v>68</v>
      </c>
      <c r="E162" t="s">
        <v>25</v>
      </c>
      <c r="F162" t="s">
        <v>1239</v>
      </c>
      <c r="G162" t="s">
        <v>31</v>
      </c>
      <c r="H162">
        <v>4</v>
      </c>
      <c r="I162">
        <v>223.77</v>
      </c>
      <c r="J162">
        <v>0</v>
      </c>
      <c r="K162">
        <v>895.08</v>
      </c>
      <c r="L162">
        <v>212.77</v>
      </c>
      <c r="M162">
        <v>851.08</v>
      </c>
      <c r="N162">
        <v>30</v>
      </c>
      <c r="O162" t="s">
        <v>26</v>
      </c>
      <c r="P162" t="s">
        <v>35</v>
      </c>
    </row>
    <row r="163" spans="1:16">
      <c r="A163">
        <v>100008</v>
      </c>
      <c r="B163" s="4">
        <v>45768</v>
      </c>
      <c r="C163" t="s">
        <v>1020</v>
      </c>
      <c r="D163" t="s">
        <v>70</v>
      </c>
      <c r="E163" t="s">
        <v>25</v>
      </c>
      <c r="F163" t="s">
        <v>1238</v>
      </c>
      <c r="G163" t="s">
        <v>18</v>
      </c>
      <c r="H163">
        <v>2</v>
      </c>
      <c r="I163">
        <v>152.62</v>
      </c>
      <c r="J163">
        <v>0</v>
      </c>
      <c r="K163">
        <v>305.24</v>
      </c>
      <c r="L163">
        <v>105.03</v>
      </c>
      <c r="M163">
        <v>210.06</v>
      </c>
      <c r="N163">
        <v>21</v>
      </c>
      <c r="O163" t="s">
        <v>19</v>
      </c>
      <c r="P163" t="s">
        <v>43</v>
      </c>
    </row>
    <row r="164" spans="1:16">
      <c r="A164">
        <v>101024</v>
      </c>
      <c r="B164" s="4">
        <v>45289</v>
      </c>
      <c r="C164" t="s">
        <v>215</v>
      </c>
      <c r="D164" t="s">
        <v>87</v>
      </c>
      <c r="E164" t="s">
        <v>25</v>
      </c>
      <c r="F164" t="s">
        <v>1239</v>
      </c>
      <c r="G164" t="s">
        <v>18</v>
      </c>
      <c r="H164">
        <v>2</v>
      </c>
      <c r="I164">
        <v>87</v>
      </c>
      <c r="J164">
        <v>10</v>
      </c>
      <c r="K164">
        <v>156.6</v>
      </c>
      <c r="L164">
        <v>48.93</v>
      </c>
      <c r="M164">
        <v>97.86</v>
      </c>
      <c r="N164">
        <v>42</v>
      </c>
      <c r="O164" t="s">
        <v>26</v>
      </c>
      <c r="P164" t="s">
        <v>27</v>
      </c>
    </row>
    <row r="165" spans="1:16">
      <c r="A165">
        <v>100232</v>
      </c>
      <c r="B165" s="4">
        <v>45755</v>
      </c>
      <c r="C165" t="s">
        <v>1019</v>
      </c>
      <c r="D165" t="s">
        <v>70</v>
      </c>
      <c r="E165" t="s">
        <v>25</v>
      </c>
      <c r="F165" t="s">
        <v>1238</v>
      </c>
      <c r="G165" t="s">
        <v>31</v>
      </c>
      <c r="H165">
        <v>1</v>
      </c>
      <c r="I165">
        <v>147.78</v>
      </c>
      <c r="J165">
        <v>5</v>
      </c>
      <c r="K165">
        <v>140.38999999999999</v>
      </c>
      <c r="L165">
        <v>41.21</v>
      </c>
      <c r="M165">
        <v>41.21</v>
      </c>
      <c r="N165">
        <v>39</v>
      </c>
      <c r="O165" t="s">
        <v>26</v>
      </c>
      <c r="P165" t="s">
        <v>46</v>
      </c>
    </row>
    <row r="166" spans="1:16">
      <c r="A166">
        <v>100151</v>
      </c>
      <c r="B166" s="4">
        <v>45440</v>
      </c>
      <c r="C166" t="s">
        <v>1013</v>
      </c>
      <c r="D166" t="s">
        <v>68</v>
      </c>
      <c r="E166" t="s">
        <v>25</v>
      </c>
      <c r="F166" t="s">
        <v>1238</v>
      </c>
      <c r="G166" t="s">
        <v>48</v>
      </c>
      <c r="H166">
        <v>1</v>
      </c>
      <c r="I166">
        <v>228.82</v>
      </c>
      <c r="J166">
        <v>0</v>
      </c>
      <c r="K166">
        <v>228.82</v>
      </c>
      <c r="L166">
        <v>71.19</v>
      </c>
      <c r="M166">
        <v>71.19</v>
      </c>
      <c r="N166">
        <v>26</v>
      </c>
      <c r="O166" t="s">
        <v>19</v>
      </c>
      <c r="P166" t="s">
        <v>27</v>
      </c>
    </row>
    <row r="167" spans="1:16">
      <c r="A167">
        <v>100586</v>
      </c>
      <c r="B167" s="4">
        <v>45460</v>
      </c>
      <c r="C167" t="s">
        <v>1007</v>
      </c>
      <c r="D167" t="s">
        <v>87</v>
      </c>
      <c r="E167" t="s">
        <v>25</v>
      </c>
      <c r="F167" t="s">
        <v>1237</v>
      </c>
      <c r="G167" t="s">
        <v>18</v>
      </c>
      <c r="H167">
        <v>3</v>
      </c>
      <c r="I167">
        <v>85.28</v>
      </c>
      <c r="J167">
        <v>5</v>
      </c>
      <c r="K167">
        <v>243.05</v>
      </c>
      <c r="L167">
        <v>78.3</v>
      </c>
      <c r="M167">
        <v>234.89999999999998</v>
      </c>
      <c r="N167">
        <v>28</v>
      </c>
      <c r="O167" t="s">
        <v>122</v>
      </c>
      <c r="P167" t="s">
        <v>32</v>
      </c>
    </row>
    <row r="168" spans="1:16">
      <c r="A168">
        <v>100624</v>
      </c>
      <c r="B168" s="4">
        <v>45426</v>
      </c>
      <c r="C168" t="s">
        <v>1006</v>
      </c>
      <c r="D168" t="s">
        <v>39</v>
      </c>
      <c r="E168" t="s">
        <v>25</v>
      </c>
      <c r="F168" t="s">
        <v>1241</v>
      </c>
      <c r="G168" t="s">
        <v>31</v>
      </c>
      <c r="H168">
        <v>1</v>
      </c>
      <c r="I168">
        <v>190.17</v>
      </c>
      <c r="J168">
        <v>10</v>
      </c>
      <c r="K168">
        <v>171.15</v>
      </c>
      <c r="L168">
        <v>49.27</v>
      </c>
      <c r="M168">
        <v>49.27</v>
      </c>
      <c r="N168">
        <v>27</v>
      </c>
      <c r="O168" t="s">
        <v>19</v>
      </c>
      <c r="P168" t="s">
        <v>20</v>
      </c>
    </row>
    <row r="169" spans="1:16">
      <c r="A169">
        <v>100887</v>
      </c>
      <c r="B169" s="4">
        <v>45528</v>
      </c>
      <c r="C169" t="s">
        <v>220</v>
      </c>
      <c r="D169" t="s">
        <v>73</v>
      </c>
      <c r="E169" t="s">
        <v>25</v>
      </c>
      <c r="F169" t="s">
        <v>1241</v>
      </c>
      <c r="G169" t="s">
        <v>31</v>
      </c>
      <c r="H169">
        <v>2</v>
      </c>
      <c r="I169">
        <v>31.96</v>
      </c>
      <c r="J169">
        <v>10</v>
      </c>
      <c r="K169">
        <v>57.53</v>
      </c>
      <c r="L169">
        <v>20.43</v>
      </c>
      <c r="M169">
        <v>40.86</v>
      </c>
      <c r="N169">
        <v>27</v>
      </c>
      <c r="O169" t="s">
        <v>19</v>
      </c>
      <c r="P169" t="s">
        <v>51</v>
      </c>
    </row>
    <row r="170" spans="1:16">
      <c r="A170">
        <v>100818</v>
      </c>
      <c r="B170" s="4">
        <v>45467</v>
      </c>
      <c r="C170" t="s">
        <v>221</v>
      </c>
      <c r="D170" t="s">
        <v>39</v>
      </c>
      <c r="E170" t="s">
        <v>25</v>
      </c>
      <c r="F170" t="s">
        <v>1238</v>
      </c>
      <c r="G170" t="s">
        <v>18</v>
      </c>
      <c r="H170">
        <v>3</v>
      </c>
      <c r="I170">
        <v>164.27</v>
      </c>
      <c r="J170">
        <v>5</v>
      </c>
      <c r="K170">
        <v>468.17</v>
      </c>
      <c r="L170">
        <v>143.62</v>
      </c>
      <c r="M170">
        <v>430.86</v>
      </c>
      <c r="N170">
        <v>30</v>
      </c>
      <c r="O170" t="s">
        <v>19</v>
      </c>
      <c r="P170" t="s">
        <v>32</v>
      </c>
    </row>
    <row r="171" spans="1:16">
      <c r="A171">
        <v>100985</v>
      </c>
      <c r="B171" s="4">
        <v>45077</v>
      </c>
      <c r="C171" t="s">
        <v>1001</v>
      </c>
      <c r="D171" t="s">
        <v>100</v>
      </c>
      <c r="E171" t="s">
        <v>25</v>
      </c>
      <c r="F171" t="s">
        <v>1237</v>
      </c>
      <c r="G171" t="s">
        <v>48</v>
      </c>
      <c r="H171">
        <v>5</v>
      </c>
      <c r="I171">
        <v>121.9</v>
      </c>
      <c r="J171">
        <v>5</v>
      </c>
      <c r="K171">
        <v>579.02</v>
      </c>
      <c r="L171">
        <v>163.19999999999999</v>
      </c>
      <c r="M171">
        <v>816</v>
      </c>
      <c r="N171">
        <v>23</v>
      </c>
      <c r="O171" t="s">
        <v>19</v>
      </c>
      <c r="P171" t="s">
        <v>81</v>
      </c>
    </row>
    <row r="172" spans="1:16">
      <c r="A172">
        <v>100111</v>
      </c>
      <c r="B172" s="4">
        <v>45132</v>
      </c>
      <c r="C172" t="s">
        <v>999</v>
      </c>
      <c r="D172" t="s">
        <v>68</v>
      </c>
      <c r="E172" t="s">
        <v>25</v>
      </c>
      <c r="F172" t="s">
        <v>1239</v>
      </c>
      <c r="G172" t="s">
        <v>18</v>
      </c>
      <c r="H172">
        <v>3</v>
      </c>
      <c r="I172">
        <v>249.51</v>
      </c>
      <c r="J172">
        <v>0</v>
      </c>
      <c r="K172">
        <v>748.53</v>
      </c>
      <c r="L172">
        <v>257.95999999999998</v>
      </c>
      <c r="M172">
        <v>773.87999999999988</v>
      </c>
      <c r="N172">
        <v>30</v>
      </c>
      <c r="O172" t="s">
        <v>26</v>
      </c>
      <c r="P172" t="s">
        <v>20</v>
      </c>
    </row>
    <row r="173" spans="1:16">
      <c r="A173">
        <v>100978</v>
      </c>
      <c r="B173" s="4">
        <v>45659</v>
      </c>
      <c r="C173" t="s">
        <v>996</v>
      </c>
      <c r="D173" t="s">
        <v>39</v>
      </c>
      <c r="E173" t="s">
        <v>25</v>
      </c>
      <c r="F173" t="s">
        <v>1239</v>
      </c>
      <c r="G173" t="s">
        <v>48</v>
      </c>
      <c r="H173">
        <v>4</v>
      </c>
      <c r="I173">
        <v>176.76</v>
      </c>
      <c r="J173">
        <v>20</v>
      </c>
      <c r="K173">
        <v>565.63</v>
      </c>
      <c r="L173">
        <v>143.41999999999999</v>
      </c>
      <c r="M173">
        <v>573.67999999999995</v>
      </c>
      <c r="N173">
        <v>34</v>
      </c>
      <c r="O173" t="s">
        <v>19</v>
      </c>
      <c r="P173" t="s">
        <v>51</v>
      </c>
    </row>
    <row r="174" spans="1:16">
      <c r="A174">
        <v>101198</v>
      </c>
      <c r="B174" s="4">
        <v>45571</v>
      </c>
      <c r="C174" t="s">
        <v>994</v>
      </c>
      <c r="D174" t="s">
        <v>87</v>
      </c>
      <c r="E174" t="s">
        <v>25</v>
      </c>
      <c r="F174" t="s">
        <v>1237</v>
      </c>
      <c r="G174" t="s">
        <v>48</v>
      </c>
      <c r="H174">
        <v>3</v>
      </c>
      <c r="I174">
        <v>93.55</v>
      </c>
      <c r="J174">
        <v>20</v>
      </c>
      <c r="K174">
        <v>224.52</v>
      </c>
      <c r="L174">
        <v>71.14</v>
      </c>
      <c r="M174">
        <v>213.42000000000002</v>
      </c>
      <c r="N174">
        <v>33</v>
      </c>
      <c r="O174" t="s">
        <v>26</v>
      </c>
      <c r="P174" t="s">
        <v>32</v>
      </c>
    </row>
    <row r="175" spans="1:16">
      <c r="A175">
        <v>100913</v>
      </c>
      <c r="B175" s="4">
        <v>45737</v>
      </c>
      <c r="C175" t="s">
        <v>993</v>
      </c>
      <c r="D175" t="s">
        <v>24</v>
      </c>
      <c r="E175" t="s">
        <v>25</v>
      </c>
      <c r="F175" t="s">
        <v>1241</v>
      </c>
      <c r="G175" t="s">
        <v>31</v>
      </c>
      <c r="H175">
        <v>2</v>
      </c>
      <c r="I175">
        <v>99.67</v>
      </c>
      <c r="J175">
        <v>5</v>
      </c>
      <c r="K175">
        <v>189.37</v>
      </c>
      <c r="L175">
        <v>61.03</v>
      </c>
      <c r="M175">
        <v>122.06</v>
      </c>
      <c r="N175">
        <v>23</v>
      </c>
      <c r="O175" t="s">
        <v>19</v>
      </c>
      <c r="P175" t="s">
        <v>51</v>
      </c>
    </row>
    <row r="176" spans="1:16">
      <c r="A176">
        <v>100895</v>
      </c>
      <c r="B176" s="4">
        <v>45115</v>
      </c>
      <c r="C176" t="s">
        <v>992</v>
      </c>
      <c r="D176" t="s">
        <v>39</v>
      </c>
      <c r="E176" t="s">
        <v>25</v>
      </c>
      <c r="F176" t="s">
        <v>1241</v>
      </c>
      <c r="G176" t="s">
        <v>18</v>
      </c>
      <c r="H176">
        <v>3</v>
      </c>
      <c r="I176">
        <v>175.6</v>
      </c>
      <c r="J176">
        <v>5</v>
      </c>
      <c r="K176">
        <v>500.46</v>
      </c>
      <c r="L176">
        <v>131.79</v>
      </c>
      <c r="M176">
        <v>395.37</v>
      </c>
      <c r="N176">
        <v>27</v>
      </c>
      <c r="O176" t="s">
        <v>26</v>
      </c>
      <c r="P176" t="s">
        <v>20</v>
      </c>
    </row>
    <row r="177" spans="1:16">
      <c r="A177">
        <v>100560</v>
      </c>
      <c r="B177" s="4">
        <v>45463</v>
      </c>
      <c r="C177" t="s">
        <v>228</v>
      </c>
      <c r="D177" t="s">
        <v>70</v>
      </c>
      <c r="E177" t="s">
        <v>25</v>
      </c>
      <c r="F177" t="s">
        <v>1237</v>
      </c>
      <c r="G177" t="s">
        <v>18</v>
      </c>
      <c r="H177">
        <v>5</v>
      </c>
      <c r="I177">
        <v>154.01</v>
      </c>
      <c r="J177">
        <v>5</v>
      </c>
      <c r="K177">
        <v>731.55</v>
      </c>
      <c r="L177">
        <v>213.79</v>
      </c>
      <c r="M177">
        <v>1068.95</v>
      </c>
      <c r="N177">
        <v>26</v>
      </c>
      <c r="O177" t="s">
        <v>19</v>
      </c>
      <c r="P177" t="s">
        <v>35</v>
      </c>
    </row>
    <row r="178" spans="1:16">
      <c r="A178">
        <v>100680</v>
      </c>
      <c r="B178" s="4">
        <v>45090</v>
      </c>
      <c r="C178" t="s">
        <v>985</v>
      </c>
      <c r="D178" t="s">
        <v>70</v>
      </c>
      <c r="E178" t="s">
        <v>25</v>
      </c>
      <c r="F178" t="s">
        <v>1238</v>
      </c>
      <c r="G178" t="s">
        <v>18</v>
      </c>
      <c r="H178">
        <v>6</v>
      </c>
      <c r="I178">
        <v>140.27000000000001</v>
      </c>
      <c r="J178">
        <v>10</v>
      </c>
      <c r="K178">
        <v>757.46</v>
      </c>
      <c r="L178">
        <v>185.05</v>
      </c>
      <c r="M178">
        <v>1110.3000000000002</v>
      </c>
      <c r="N178">
        <v>33</v>
      </c>
      <c r="O178" t="s">
        <v>26</v>
      </c>
      <c r="P178" t="s">
        <v>46</v>
      </c>
    </row>
    <row r="179" spans="1:16">
      <c r="A179">
        <v>100800</v>
      </c>
      <c r="B179" s="4">
        <v>45188</v>
      </c>
      <c r="C179" t="s">
        <v>982</v>
      </c>
      <c r="D179" t="s">
        <v>42</v>
      </c>
      <c r="E179" t="s">
        <v>25</v>
      </c>
      <c r="F179" t="s">
        <v>1237</v>
      </c>
      <c r="G179" t="s">
        <v>18</v>
      </c>
      <c r="H179">
        <v>3</v>
      </c>
      <c r="I179">
        <v>142.61000000000001</v>
      </c>
      <c r="J179">
        <v>20</v>
      </c>
      <c r="K179">
        <v>342.26</v>
      </c>
      <c r="L179">
        <v>84.2</v>
      </c>
      <c r="M179">
        <v>252.60000000000002</v>
      </c>
      <c r="N179">
        <v>19</v>
      </c>
      <c r="O179" t="s">
        <v>26</v>
      </c>
      <c r="P179" t="s">
        <v>51</v>
      </c>
    </row>
    <row r="180" spans="1:16">
      <c r="A180">
        <v>101087</v>
      </c>
      <c r="B180" s="4">
        <v>45832</v>
      </c>
      <c r="C180" t="s">
        <v>981</v>
      </c>
      <c r="D180" t="s">
        <v>73</v>
      </c>
      <c r="E180" t="s">
        <v>25</v>
      </c>
      <c r="F180" t="s">
        <v>1237</v>
      </c>
      <c r="G180" t="s">
        <v>31</v>
      </c>
      <c r="H180">
        <v>4</v>
      </c>
      <c r="I180">
        <v>28.91</v>
      </c>
      <c r="J180">
        <v>0</v>
      </c>
      <c r="K180">
        <v>115.64</v>
      </c>
      <c r="L180">
        <v>27.23</v>
      </c>
      <c r="M180">
        <v>108.92</v>
      </c>
      <c r="N180">
        <v>32</v>
      </c>
      <c r="O180" t="s">
        <v>26</v>
      </c>
      <c r="P180" t="s">
        <v>43</v>
      </c>
    </row>
    <row r="181" spans="1:16">
      <c r="A181">
        <v>101182</v>
      </c>
      <c r="B181" s="4">
        <v>45155</v>
      </c>
      <c r="C181" t="s">
        <v>980</v>
      </c>
      <c r="D181" t="s">
        <v>68</v>
      </c>
      <c r="E181" t="s">
        <v>25</v>
      </c>
      <c r="F181" t="s">
        <v>1238</v>
      </c>
      <c r="G181" t="s">
        <v>64</v>
      </c>
      <c r="H181">
        <v>1</v>
      </c>
      <c r="I181">
        <v>235.5</v>
      </c>
      <c r="J181">
        <v>5</v>
      </c>
      <c r="K181">
        <v>223.72</v>
      </c>
      <c r="L181">
        <v>66.040000000000006</v>
      </c>
      <c r="M181">
        <v>66.040000000000006</v>
      </c>
      <c r="N181">
        <v>37</v>
      </c>
      <c r="O181" t="s">
        <v>26</v>
      </c>
      <c r="P181" t="s">
        <v>46</v>
      </c>
    </row>
    <row r="182" spans="1:16">
      <c r="A182">
        <v>100724</v>
      </c>
      <c r="B182" s="4">
        <v>45453</v>
      </c>
      <c r="C182" t="s">
        <v>233</v>
      </c>
      <c r="D182" t="s">
        <v>73</v>
      </c>
      <c r="E182" t="s">
        <v>25</v>
      </c>
      <c r="F182" t="s">
        <v>1241</v>
      </c>
      <c r="G182" t="s">
        <v>18</v>
      </c>
      <c r="H182">
        <v>2</v>
      </c>
      <c r="I182">
        <v>35.39</v>
      </c>
      <c r="J182">
        <v>0</v>
      </c>
      <c r="K182">
        <v>70.78</v>
      </c>
      <c r="L182">
        <v>24.76</v>
      </c>
      <c r="M182">
        <v>49.52</v>
      </c>
      <c r="N182">
        <v>21</v>
      </c>
      <c r="O182" t="s">
        <v>19</v>
      </c>
      <c r="P182" t="s">
        <v>43</v>
      </c>
    </row>
    <row r="183" spans="1:16">
      <c r="A183">
        <v>100826</v>
      </c>
      <c r="B183" s="4">
        <v>45650</v>
      </c>
      <c r="C183" t="s">
        <v>234</v>
      </c>
      <c r="D183" t="s">
        <v>70</v>
      </c>
      <c r="E183" t="s">
        <v>25</v>
      </c>
      <c r="F183" t="s">
        <v>1238</v>
      </c>
      <c r="G183" t="s">
        <v>31</v>
      </c>
      <c r="H183">
        <v>4</v>
      </c>
      <c r="I183">
        <v>148.62</v>
      </c>
      <c r="J183">
        <v>0</v>
      </c>
      <c r="K183">
        <v>594.48</v>
      </c>
      <c r="L183">
        <v>166.9</v>
      </c>
      <c r="M183">
        <v>667.6</v>
      </c>
      <c r="N183">
        <v>21</v>
      </c>
      <c r="O183" t="s">
        <v>19</v>
      </c>
      <c r="P183" t="s">
        <v>27</v>
      </c>
    </row>
    <row r="184" spans="1:16">
      <c r="A184">
        <v>100976</v>
      </c>
      <c r="B184" s="4">
        <v>45742</v>
      </c>
      <c r="C184" t="s">
        <v>979</v>
      </c>
      <c r="D184" t="s">
        <v>24</v>
      </c>
      <c r="E184" t="s">
        <v>25</v>
      </c>
      <c r="F184" t="s">
        <v>1237</v>
      </c>
      <c r="G184" t="s">
        <v>31</v>
      </c>
      <c r="H184">
        <v>4</v>
      </c>
      <c r="I184">
        <v>93.67</v>
      </c>
      <c r="J184">
        <v>5</v>
      </c>
      <c r="K184">
        <v>355.95</v>
      </c>
      <c r="L184">
        <v>113.89</v>
      </c>
      <c r="M184">
        <v>455.56</v>
      </c>
      <c r="N184">
        <v>32</v>
      </c>
      <c r="O184" t="s">
        <v>19</v>
      </c>
      <c r="P184" t="s">
        <v>35</v>
      </c>
    </row>
    <row r="185" spans="1:16">
      <c r="A185">
        <v>101039</v>
      </c>
      <c r="B185" s="4">
        <v>45041</v>
      </c>
      <c r="C185" t="s">
        <v>236</v>
      </c>
      <c r="D185" t="s">
        <v>87</v>
      </c>
      <c r="E185" t="s">
        <v>25</v>
      </c>
      <c r="F185" t="s">
        <v>1237</v>
      </c>
      <c r="G185" t="s">
        <v>31</v>
      </c>
      <c r="H185">
        <v>4</v>
      </c>
      <c r="I185">
        <v>88.19</v>
      </c>
      <c r="J185">
        <v>0</v>
      </c>
      <c r="K185">
        <v>352.76</v>
      </c>
      <c r="L185">
        <v>102.78</v>
      </c>
      <c r="M185">
        <v>411.12</v>
      </c>
      <c r="N185">
        <v>35</v>
      </c>
      <c r="O185" t="s">
        <v>26</v>
      </c>
      <c r="P185" t="s">
        <v>43</v>
      </c>
    </row>
    <row r="186" spans="1:16">
      <c r="A186">
        <v>101063</v>
      </c>
      <c r="B186" s="4">
        <v>45872</v>
      </c>
      <c r="C186" t="s">
        <v>976</v>
      </c>
      <c r="D186" t="s">
        <v>24</v>
      </c>
      <c r="E186" t="s">
        <v>25</v>
      </c>
      <c r="F186" t="s">
        <v>1237</v>
      </c>
      <c r="G186" t="s">
        <v>18</v>
      </c>
      <c r="H186">
        <v>3</v>
      </c>
      <c r="I186">
        <v>95.36</v>
      </c>
      <c r="J186">
        <v>0</v>
      </c>
      <c r="K186">
        <v>286.08</v>
      </c>
      <c r="L186">
        <v>61.27</v>
      </c>
      <c r="M186">
        <v>183.81</v>
      </c>
      <c r="N186">
        <v>19</v>
      </c>
      <c r="O186" t="s">
        <v>26</v>
      </c>
      <c r="P186" t="s">
        <v>35</v>
      </c>
    </row>
    <row r="187" spans="1:16">
      <c r="A187">
        <v>100997</v>
      </c>
      <c r="B187" s="4">
        <v>45207</v>
      </c>
      <c r="C187" t="s">
        <v>238</v>
      </c>
      <c r="D187" t="s">
        <v>87</v>
      </c>
      <c r="E187" t="s">
        <v>25</v>
      </c>
      <c r="F187" t="s">
        <v>1241</v>
      </c>
      <c r="G187" t="s">
        <v>31</v>
      </c>
      <c r="H187">
        <v>2</v>
      </c>
      <c r="I187">
        <v>73.12</v>
      </c>
      <c r="J187">
        <v>0</v>
      </c>
      <c r="K187">
        <v>146.24</v>
      </c>
      <c r="L187">
        <v>45.75</v>
      </c>
      <c r="M187">
        <v>91.5</v>
      </c>
      <c r="N187">
        <v>39</v>
      </c>
      <c r="O187" t="s">
        <v>19</v>
      </c>
      <c r="P187" t="s">
        <v>32</v>
      </c>
    </row>
    <row r="188" spans="1:16">
      <c r="A188">
        <v>101105</v>
      </c>
      <c r="B188" s="4">
        <v>45388</v>
      </c>
      <c r="C188" t="s">
        <v>974</v>
      </c>
      <c r="D188" t="s">
        <v>68</v>
      </c>
      <c r="E188" t="s">
        <v>25</v>
      </c>
      <c r="F188" t="s">
        <v>1237</v>
      </c>
      <c r="G188" t="s">
        <v>31</v>
      </c>
      <c r="H188">
        <v>4</v>
      </c>
      <c r="I188">
        <v>193.24</v>
      </c>
      <c r="J188">
        <v>0</v>
      </c>
      <c r="K188">
        <v>772.96</v>
      </c>
      <c r="L188">
        <v>233.34</v>
      </c>
      <c r="M188">
        <v>933.36</v>
      </c>
      <c r="N188">
        <v>38</v>
      </c>
      <c r="O188" t="s">
        <v>26</v>
      </c>
      <c r="P188" t="s">
        <v>51</v>
      </c>
    </row>
    <row r="189" spans="1:16">
      <c r="A189">
        <v>100194</v>
      </c>
      <c r="B189" s="4">
        <v>45010</v>
      </c>
      <c r="C189" t="s">
        <v>973</v>
      </c>
      <c r="D189" t="s">
        <v>70</v>
      </c>
      <c r="E189" t="s">
        <v>25</v>
      </c>
      <c r="F189" t="s">
        <v>1237</v>
      </c>
      <c r="G189" t="s">
        <v>18</v>
      </c>
      <c r="H189">
        <v>5</v>
      </c>
      <c r="I189">
        <v>137.62</v>
      </c>
      <c r="J189">
        <v>0</v>
      </c>
      <c r="K189">
        <v>688.1</v>
      </c>
      <c r="L189">
        <v>188.22</v>
      </c>
      <c r="M189">
        <v>941.1</v>
      </c>
      <c r="N189">
        <v>30</v>
      </c>
      <c r="O189" t="s">
        <v>26</v>
      </c>
      <c r="P189" t="s">
        <v>32</v>
      </c>
    </row>
    <row r="190" spans="1:16">
      <c r="A190">
        <v>100429</v>
      </c>
      <c r="B190" s="4">
        <v>45552</v>
      </c>
      <c r="C190" t="s">
        <v>241</v>
      </c>
      <c r="D190" t="s">
        <v>73</v>
      </c>
      <c r="E190" t="s">
        <v>25</v>
      </c>
      <c r="F190" t="s">
        <v>1240</v>
      </c>
      <c r="G190" t="s">
        <v>18</v>
      </c>
      <c r="H190">
        <v>1</v>
      </c>
      <c r="I190">
        <v>32.9</v>
      </c>
      <c r="J190">
        <v>20</v>
      </c>
      <c r="K190">
        <v>26.32</v>
      </c>
      <c r="L190">
        <v>8.7899999999999991</v>
      </c>
      <c r="M190">
        <v>8.7899999999999991</v>
      </c>
      <c r="N190">
        <v>20</v>
      </c>
      <c r="O190" t="s">
        <v>26</v>
      </c>
      <c r="P190" t="s">
        <v>51</v>
      </c>
    </row>
    <row r="191" spans="1:16">
      <c r="A191">
        <v>100506</v>
      </c>
      <c r="B191" s="4">
        <v>44939</v>
      </c>
      <c r="C191" t="s">
        <v>242</v>
      </c>
      <c r="D191" t="s">
        <v>73</v>
      </c>
      <c r="E191" t="s">
        <v>25</v>
      </c>
      <c r="F191" t="s">
        <v>1241</v>
      </c>
      <c r="G191" t="s">
        <v>18</v>
      </c>
      <c r="H191">
        <v>6</v>
      </c>
      <c r="I191">
        <v>40.630000000000003</v>
      </c>
      <c r="J191">
        <v>5</v>
      </c>
      <c r="K191">
        <v>231.59</v>
      </c>
      <c r="L191">
        <v>81.33</v>
      </c>
      <c r="M191">
        <v>487.98</v>
      </c>
      <c r="N191">
        <v>23</v>
      </c>
      <c r="O191" t="s">
        <v>19</v>
      </c>
      <c r="P191" t="s">
        <v>35</v>
      </c>
    </row>
    <row r="192" spans="1:16">
      <c r="A192">
        <v>100830</v>
      </c>
      <c r="B192" s="4">
        <v>45444</v>
      </c>
      <c r="C192" t="s">
        <v>243</v>
      </c>
      <c r="D192" t="s">
        <v>42</v>
      </c>
      <c r="E192" t="s">
        <v>25</v>
      </c>
      <c r="F192" t="s">
        <v>1238</v>
      </c>
      <c r="G192" t="s">
        <v>31</v>
      </c>
      <c r="H192">
        <v>2</v>
      </c>
      <c r="I192">
        <v>158.38999999999999</v>
      </c>
      <c r="J192">
        <v>10</v>
      </c>
      <c r="K192">
        <v>285.10000000000002</v>
      </c>
      <c r="L192">
        <v>99.32</v>
      </c>
      <c r="M192">
        <v>198.64</v>
      </c>
      <c r="N192">
        <v>37</v>
      </c>
      <c r="O192" t="s">
        <v>26</v>
      </c>
      <c r="P192" t="s">
        <v>51</v>
      </c>
    </row>
    <row r="193" spans="1:16">
      <c r="A193">
        <v>100693</v>
      </c>
      <c r="B193" s="4">
        <v>45717</v>
      </c>
      <c r="C193" t="s">
        <v>244</v>
      </c>
      <c r="D193" t="s">
        <v>68</v>
      </c>
      <c r="E193" t="s">
        <v>25</v>
      </c>
      <c r="F193" t="s">
        <v>1238</v>
      </c>
      <c r="G193" t="s">
        <v>31</v>
      </c>
      <c r="H193">
        <v>2</v>
      </c>
      <c r="I193">
        <v>238.44</v>
      </c>
      <c r="J193">
        <v>0</v>
      </c>
      <c r="K193">
        <v>476.88</v>
      </c>
      <c r="L193">
        <v>148.19</v>
      </c>
      <c r="M193">
        <v>296.38</v>
      </c>
      <c r="N193">
        <v>25</v>
      </c>
      <c r="O193" t="s">
        <v>26</v>
      </c>
      <c r="P193" t="s">
        <v>46</v>
      </c>
    </row>
    <row r="194" spans="1:16">
      <c r="A194">
        <v>100010</v>
      </c>
      <c r="B194" s="4">
        <v>45151</v>
      </c>
      <c r="C194" t="s">
        <v>245</v>
      </c>
      <c r="D194" t="s">
        <v>68</v>
      </c>
      <c r="E194" t="s">
        <v>25</v>
      </c>
      <c r="F194" t="s">
        <v>1241</v>
      </c>
      <c r="G194" t="s">
        <v>18</v>
      </c>
      <c r="H194">
        <v>1</v>
      </c>
      <c r="I194">
        <v>225.7</v>
      </c>
      <c r="J194">
        <v>0</v>
      </c>
      <c r="K194">
        <v>225.7</v>
      </c>
      <c r="L194">
        <v>63.36</v>
      </c>
      <c r="M194">
        <v>63.36</v>
      </c>
      <c r="N194">
        <v>34</v>
      </c>
      <c r="O194" t="s">
        <v>26</v>
      </c>
      <c r="P194" t="s">
        <v>35</v>
      </c>
    </row>
    <row r="195" spans="1:16">
      <c r="A195">
        <v>100687</v>
      </c>
      <c r="B195" s="4">
        <v>45735</v>
      </c>
      <c r="C195" t="s">
        <v>969</v>
      </c>
      <c r="D195" t="s">
        <v>100</v>
      </c>
      <c r="E195" t="s">
        <v>25</v>
      </c>
      <c r="F195" t="s">
        <v>1237</v>
      </c>
      <c r="G195" t="s">
        <v>31</v>
      </c>
      <c r="H195">
        <v>1</v>
      </c>
      <c r="I195">
        <v>138.72999999999999</v>
      </c>
      <c r="J195">
        <v>0</v>
      </c>
      <c r="K195">
        <v>138.72999999999999</v>
      </c>
      <c r="L195">
        <v>44.9</v>
      </c>
      <c r="M195">
        <v>44.9</v>
      </c>
      <c r="N195">
        <v>37</v>
      </c>
      <c r="O195" t="s">
        <v>26</v>
      </c>
      <c r="P195" t="s">
        <v>32</v>
      </c>
    </row>
    <row r="196" spans="1:16">
      <c r="A196">
        <v>100462</v>
      </c>
      <c r="B196" s="4">
        <v>45099</v>
      </c>
      <c r="C196" t="s">
        <v>247</v>
      </c>
      <c r="D196" t="s">
        <v>39</v>
      </c>
      <c r="E196" t="s">
        <v>25</v>
      </c>
      <c r="F196" t="s">
        <v>1237</v>
      </c>
      <c r="G196" t="s">
        <v>31</v>
      </c>
      <c r="H196">
        <v>1</v>
      </c>
      <c r="I196">
        <v>182.22</v>
      </c>
      <c r="J196">
        <v>5</v>
      </c>
      <c r="K196">
        <v>173.11</v>
      </c>
      <c r="L196">
        <v>66.75</v>
      </c>
      <c r="M196">
        <v>66.75</v>
      </c>
      <c r="N196">
        <v>35</v>
      </c>
      <c r="O196" t="s">
        <v>19</v>
      </c>
      <c r="P196" t="s">
        <v>20</v>
      </c>
    </row>
    <row r="197" spans="1:16">
      <c r="A197">
        <v>100374</v>
      </c>
      <c r="B197" s="4">
        <v>45781</v>
      </c>
      <c r="C197" t="s">
        <v>965</v>
      </c>
      <c r="D197" t="s">
        <v>100</v>
      </c>
      <c r="E197" t="s">
        <v>25</v>
      </c>
      <c r="F197" t="s">
        <v>1239</v>
      </c>
      <c r="G197" t="s">
        <v>48</v>
      </c>
      <c r="H197">
        <v>7</v>
      </c>
      <c r="I197">
        <v>123.33</v>
      </c>
      <c r="J197">
        <v>40</v>
      </c>
      <c r="K197">
        <v>517.99</v>
      </c>
      <c r="L197">
        <v>166.58</v>
      </c>
      <c r="M197">
        <v>1166.0600000000002</v>
      </c>
      <c r="N197">
        <v>23</v>
      </c>
      <c r="O197" t="s">
        <v>26</v>
      </c>
      <c r="P197" t="s">
        <v>32</v>
      </c>
    </row>
    <row r="198" spans="1:16">
      <c r="A198">
        <v>101180</v>
      </c>
      <c r="B198" s="4">
        <v>45203</v>
      </c>
      <c r="C198" t="s">
        <v>964</v>
      </c>
      <c r="D198" t="s">
        <v>87</v>
      </c>
      <c r="E198" t="s">
        <v>25</v>
      </c>
      <c r="F198" t="s">
        <v>1241</v>
      </c>
      <c r="G198" t="s">
        <v>18</v>
      </c>
      <c r="H198">
        <v>3</v>
      </c>
      <c r="I198">
        <v>94.73</v>
      </c>
      <c r="J198">
        <v>5</v>
      </c>
      <c r="K198">
        <v>269.98</v>
      </c>
      <c r="L198">
        <v>77.91</v>
      </c>
      <c r="M198">
        <v>233.73</v>
      </c>
      <c r="N198">
        <v>22</v>
      </c>
      <c r="O198" t="s">
        <v>26</v>
      </c>
      <c r="P198" t="s">
        <v>43</v>
      </c>
    </row>
    <row r="199" spans="1:16">
      <c r="A199">
        <v>100037</v>
      </c>
      <c r="B199" s="4">
        <v>45300</v>
      </c>
      <c r="C199" t="s">
        <v>961</v>
      </c>
      <c r="D199" t="s">
        <v>70</v>
      </c>
      <c r="E199" t="s">
        <v>25</v>
      </c>
      <c r="F199" t="s">
        <v>1241</v>
      </c>
      <c r="G199" t="s">
        <v>18</v>
      </c>
      <c r="H199">
        <v>5</v>
      </c>
      <c r="I199">
        <v>136.28</v>
      </c>
      <c r="J199">
        <v>0</v>
      </c>
      <c r="K199">
        <v>681.4</v>
      </c>
      <c r="L199">
        <v>235.26</v>
      </c>
      <c r="M199">
        <v>1176.3</v>
      </c>
      <c r="N199">
        <v>25</v>
      </c>
      <c r="O199" t="s">
        <v>26</v>
      </c>
      <c r="P199" t="s">
        <v>32</v>
      </c>
    </row>
    <row r="200" spans="1:16">
      <c r="A200">
        <v>100364</v>
      </c>
      <c r="B200" s="4">
        <v>45273</v>
      </c>
      <c r="C200" t="s">
        <v>959</v>
      </c>
      <c r="D200" t="s">
        <v>100</v>
      </c>
      <c r="E200" t="s">
        <v>25</v>
      </c>
      <c r="F200" t="s">
        <v>1239</v>
      </c>
      <c r="G200" t="s">
        <v>31</v>
      </c>
      <c r="H200">
        <v>2</v>
      </c>
      <c r="I200">
        <v>117.21</v>
      </c>
      <c r="J200">
        <v>0</v>
      </c>
      <c r="K200">
        <v>234.42</v>
      </c>
      <c r="L200">
        <v>76.150000000000006</v>
      </c>
      <c r="M200">
        <v>152.30000000000001</v>
      </c>
      <c r="N200">
        <v>51</v>
      </c>
      <c r="O200" t="s">
        <v>26</v>
      </c>
      <c r="P200" t="s">
        <v>35</v>
      </c>
    </row>
    <row r="201" spans="1:16">
      <c r="A201">
        <v>100026</v>
      </c>
      <c r="B201" s="4">
        <v>45085</v>
      </c>
      <c r="C201" t="s">
        <v>954</v>
      </c>
      <c r="D201" t="s">
        <v>73</v>
      </c>
      <c r="E201" t="s">
        <v>25</v>
      </c>
      <c r="F201" t="s">
        <v>1240</v>
      </c>
      <c r="G201" t="s">
        <v>31</v>
      </c>
      <c r="H201">
        <v>4</v>
      </c>
      <c r="I201">
        <v>32.03</v>
      </c>
      <c r="J201">
        <v>5</v>
      </c>
      <c r="K201">
        <v>121.71</v>
      </c>
      <c r="L201">
        <v>39.4</v>
      </c>
      <c r="M201">
        <v>157.6</v>
      </c>
      <c r="N201">
        <v>23</v>
      </c>
      <c r="O201" t="s">
        <v>26</v>
      </c>
      <c r="P201" t="s">
        <v>43</v>
      </c>
    </row>
    <row r="202" spans="1:16">
      <c r="A202">
        <v>100225</v>
      </c>
      <c r="B202" s="4">
        <v>45116</v>
      </c>
      <c r="C202" t="s">
        <v>953</v>
      </c>
      <c r="D202" t="s">
        <v>68</v>
      </c>
      <c r="E202" t="s">
        <v>25</v>
      </c>
      <c r="F202" t="s">
        <v>1240</v>
      </c>
      <c r="G202" t="s">
        <v>18</v>
      </c>
      <c r="H202">
        <v>2</v>
      </c>
      <c r="I202">
        <v>233.61</v>
      </c>
      <c r="J202">
        <v>5</v>
      </c>
      <c r="K202">
        <v>443.86</v>
      </c>
      <c r="L202">
        <v>130.18</v>
      </c>
      <c r="M202">
        <v>260.36</v>
      </c>
      <c r="N202">
        <v>28</v>
      </c>
      <c r="O202" t="s">
        <v>26</v>
      </c>
      <c r="P202" t="s">
        <v>46</v>
      </c>
    </row>
    <row r="203" spans="1:16">
      <c r="A203">
        <v>100907</v>
      </c>
      <c r="B203" s="4">
        <v>45451</v>
      </c>
      <c r="C203" t="s">
        <v>254</v>
      </c>
      <c r="D203" t="s">
        <v>100</v>
      </c>
      <c r="E203" t="s">
        <v>25</v>
      </c>
      <c r="F203" t="s">
        <v>1238</v>
      </c>
      <c r="G203" t="s">
        <v>18</v>
      </c>
      <c r="H203">
        <v>2</v>
      </c>
      <c r="I203">
        <v>134.09</v>
      </c>
      <c r="J203">
        <v>5</v>
      </c>
      <c r="K203">
        <v>254.77</v>
      </c>
      <c r="L203">
        <v>106.21</v>
      </c>
      <c r="M203">
        <v>212.42</v>
      </c>
      <c r="N203">
        <v>28</v>
      </c>
      <c r="O203" t="s">
        <v>26</v>
      </c>
      <c r="P203" t="s">
        <v>46</v>
      </c>
    </row>
    <row r="204" spans="1:16">
      <c r="A204">
        <v>100939</v>
      </c>
      <c r="B204" s="4">
        <v>44995</v>
      </c>
      <c r="C204" t="s">
        <v>952</v>
      </c>
      <c r="D204" t="s">
        <v>73</v>
      </c>
      <c r="E204" t="s">
        <v>25</v>
      </c>
      <c r="F204" t="s">
        <v>1237</v>
      </c>
      <c r="G204" t="s">
        <v>31</v>
      </c>
      <c r="H204">
        <v>5</v>
      </c>
      <c r="I204">
        <v>35.06</v>
      </c>
      <c r="J204">
        <v>5</v>
      </c>
      <c r="K204">
        <v>166.53</v>
      </c>
      <c r="L204">
        <v>51.25</v>
      </c>
      <c r="M204">
        <v>256.25</v>
      </c>
      <c r="N204">
        <v>33</v>
      </c>
      <c r="O204" t="s">
        <v>122</v>
      </c>
      <c r="P204" t="s">
        <v>35</v>
      </c>
    </row>
    <row r="205" spans="1:16">
      <c r="A205">
        <v>101128</v>
      </c>
      <c r="B205" s="4">
        <v>45420</v>
      </c>
      <c r="C205" t="s">
        <v>948</v>
      </c>
      <c r="D205" t="s">
        <v>73</v>
      </c>
      <c r="E205" t="s">
        <v>25</v>
      </c>
      <c r="F205" t="s">
        <v>1238</v>
      </c>
      <c r="G205" t="s">
        <v>31</v>
      </c>
      <c r="H205">
        <v>2</v>
      </c>
      <c r="I205">
        <v>34.69</v>
      </c>
      <c r="J205">
        <v>0</v>
      </c>
      <c r="K205">
        <v>69.38</v>
      </c>
      <c r="L205">
        <v>19.8</v>
      </c>
      <c r="M205">
        <v>39.6</v>
      </c>
      <c r="N205">
        <v>29</v>
      </c>
      <c r="O205" t="s">
        <v>26</v>
      </c>
      <c r="P205" t="s">
        <v>46</v>
      </c>
    </row>
    <row r="206" spans="1:16">
      <c r="A206">
        <v>100480</v>
      </c>
      <c r="B206" s="4">
        <v>45850</v>
      </c>
      <c r="C206" t="s">
        <v>947</v>
      </c>
      <c r="D206" t="s">
        <v>100</v>
      </c>
      <c r="E206" t="s">
        <v>25</v>
      </c>
      <c r="F206" t="s">
        <v>1239</v>
      </c>
      <c r="G206" t="s">
        <v>31</v>
      </c>
      <c r="H206">
        <v>2</v>
      </c>
      <c r="I206">
        <v>126.51</v>
      </c>
      <c r="J206">
        <v>0</v>
      </c>
      <c r="K206">
        <v>253.02</v>
      </c>
      <c r="L206">
        <v>65.92</v>
      </c>
      <c r="M206">
        <v>131.84</v>
      </c>
      <c r="N206">
        <v>26</v>
      </c>
      <c r="O206" t="s">
        <v>19</v>
      </c>
      <c r="P206" t="s">
        <v>27</v>
      </c>
    </row>
    <row r="207" spans="1:16">
      <c r="A207">
        <v>100220</v>
      </c>
      <c r="B207" s="4">
        <v>45862</v>
      </c>
      <c r="C207" t="s">
        <v>258</v>
      </c>
      <c r="D207" t="s">
        <v>42</v>
      </c>
      <c r="E207" t="s">
        <v>25</v>
      </c>
      <c r="F207" t="s">
        <v>1239</v>
      </c>
      <c r="G207" t="s">
        <v>64</v>
      </c>
      <c r="H207">
        <v>2</v>
      </c>
      <c r="I207">
        <v>154.19</v>
      </c>
      <c r="J207">
        <v>5</v>
      </c>
      <c r="K207">
        <v>292.95999999999998</v>
      </c>
      <c r="L207">
        <v>87.6</v>
      </c>
      <c r="M207">
        <v>175.2</v>
      </c>
      <c r="N207">
        <v>41</v>
      </c>
      <c r="O207" t="s">
        <v>26</v>
      </c>
      <c r="P207" t="s">
        <v>32</v>
      </c>
    </row>
    <row r="208" spans="1:16">
      <c r="A208">
        <v>100788</v>
      </c>
      <c r="B208" s="4">
        <v>45443</v>
      </c>
      <c r="C208" t="s">
        <v>259</v>
      </c>
      <c r="D208" t="s">
        <v>100</v>
      </c>
      <c r="E208" t="s">
        <v>25</v>
      </c>
      <c r="F208" t="s">
        <v>1240</v>
      </c>
      <c r="G208" t="s">
        <v>31</v>
      </c>
      <c r="H208">
        <v>4</v>
      </c>
      <c r="I208">
        <v>123.96</v>
      </c>
      <c r="J208">
        <v>5</v>
      </c>
      <c r="K208">
        <v>471.05</v>
      </c>
      <c r="L208">
        <v>135.24</v>
      </c>
      <c r="M208">
        <v>540.96</v>
      </c>
      <c r="N208">
        <v>36</v>
      </c>
      <c r="O208" t="s">
        <v>26</v>
      </c>
      <c r="P208" t="s">
        <v>81</v>
      </c>
    </row>
    <row r="209" spans="1:16">
      <c r="A209">
        <v>100515</v>
      </c>
      <c r="B209" s="4">
        <v>45816</v>
      </c>
      <c r="C209" t="s">
        <v>942</v>
      </c>
      <c r="D209" t="s">
        <v>42</v>
      </c>
      <c r="E209" t="s">
        <v>25</v>
      </c>
      <c r="F209" t="s">
        <v>1239</v>
      </c>
      <c r="G209" t="s">
        <v>18</v>
      </c>
      <c r="H209">
        <v>5</v>
      </c>
      <c r="I209">
        <v>158.09</v>
      </c>
      <c r="J209">
        <v>0</v>
      </c>
      <c r="K209">
        <v>790.45</v>
      </c>
      <c r="L209">
        <v>262.02</v>
      </c>
      <c r="M209">
        <v>1310.0999999999999</v>
      </c>
      <c r="N209">
        <v>23</v>
      </c>
      <c r="O209" t="s">
        <v>19</v>
      </c>
      <c r="P209" t="s">
        <v>32</v>
      </c>
    </row>
    <row r="210" spans="1:16">
      <c r="A210">
        <v>100713</v>
      </c>
      <c r="B210" s="4">
        <v>45252</v>
      </c>
      <c r="C210" t="s">
        <v>261</v>
      </c>
      <c r="D210" t="s">
        <v>100</v>
      </c>
      <c r="E210" t="s">
        <v>25</v>
      </c>
      <c r="F210" t="s">
        <v>1240</v>
      </c>
      <c r="G210" t="s">
        <v>48</v>
      </c>
      <c r="H210">
        <v>1</v>
      </c>
      <c r="I210">
        <v>111.35</v>
      </c>
      <c r="J210">
        <v>0</v>
      </c>
      <c r="K210">
        <v>111.35</v>
      </c>
      <c r="L210">
        <v>32.659999999999997</v>
      </c>
      <c r="M210">
        <v>32.659999999999997</v>
      </c>
      <c r="N210">
        <v>33</v>
      </c>
      <c r="O210" t="s">
        <v>26</v>
      </c>
      <c r="P210" t="s">
        <v>35</v>
      </c>
    </row>
    <row r="211" spans="1:16">
      <c r="A211">
        <v>101112</v>
      </c>
      <c r="B211" s="4">
        <v>45900</v>
      </c>
      <c r="C211" t="s">
        <v>262</v>
      </c>
      <c r="D211" t="s">
        <v>87</v>
      </c>
      <c r="E211" t="s">
        <v>25</v>
      </c>
      <c r="F211" t="s">
        <v>1237</v>
      </c>
      <c r="G211" t="s">
        <v>31</v>
      </c>
      <c r="H211">
        <v>2</v>
      </c>
      <c r="I211">
        <v>93.03</v>
      </c>
      <c r="J211">
        <v>5</v>
      </c>
      <c r="K211">
        <v>176.76</v>
      </c>
      <c r="L211">
        <v>56.59</v>
      </c>
      <c r="M211">
        <v>113.18</v>
      </c>
      <c r="N211">
        <v>30</v>
      </c>
      <c r="O211" t="s">
        <v>19</v>
      </c>
      <c r="P211" t="s">
        <v>32</v>
      </c>
    </row>
    <row r="212" spans="1:16">
      <c r="A212">
        <v>100546</v>
      </c>
      <c r="B212" s="4">
        <v>45465</v>
      </c>
      <c r="C212" t="s">
        <v>941</v>
      </c>
      <c r="D212" t="s">
        <v>100</v>
      </c>
      <c r="E212" t="s">
        <v>25</v>
      </c>
      <c r="F212" t="s">
        <v>1241</v>
      </c>
      <c r="G212" t="s">
        <v>18</v>
      </c>
      <c r="H212">
        <v>6</v>
      </c>
      <c r="I212">
        <v>137.22999999999999</v>
      </c>
      <c r="J212">
        <v>0</v>
      </c>
      <c r="K212">
        <v>823.38</v>
      </c>
      <c r="L212">
        <v>186.82</v>
      </c>
      <c r="M212">
        <v>1120.92</v>
      </c>
      <c r="N212">
        <v>22</v>
      </c>
      <c r="O212" t="s">
        <v>19</v>
      </c>
      <c r="P212" t="s">
        <v>27</v>
      </c>
    </row>
    <row r="213" spans="1:16">
      <c r="A213">
        <v>100191</v>
      </c>
      <c r="B213" s="4">
        <v>45441</v>
      </c>
      <c r="C213" t="s">
        <v>940</v>
      </c>
      <c r="D213" t="s">
        <v>70</v>
      </c>
      <c r="E213" t="s">
        <v>25</v>
      </c>
      <c r="F213" t="s">
        <v>1238</v>
      </c>
      <c r="G213" t="s">
        <v>18</v>
      </c>
      <c r="H213">
        <v>3</v>
      </c>
      <c r="I213">
        <v>157.69</v>
      </c>
      <c r="J213">
        <v>0</v>
      </c>
      <c r="K213">
        <v>473.07</v>
      </c>
      <c r="L213">
        <v>148.44</v>
      </c>
      <c r="M213">
        <v>445.32</v>
      </c>
      <c r="N213">
        <v>23</v>
      </c>
      <c r="O213" t="s">
        <v>26</v>
      </c>
      <c r="P213" t="s">
        <v>51</v>
      </c>
    </row>
    <row r="214" spans="1:16">
      <c r="A214">
        <v>100415</v>
      </c>
      <c r="B214" s="4">
        <v>45798</v>
      </c>
      <c r="C214" t="s">
        <v>265</v>
      </c>
      <c r="D214" t="s">
        <v>70</v>
      </c>
      <c r="E214" t="s">
        <v>25</v>
      </c>
      <c r="F214" t="s">
        <v>1241</v>
      </c>
      <c r="G214" t="s">
        <v>31</v>
      </c>
      <c r="H214">
        <v>3</v>
      </c>
      <c r="I214">
        <v>156.87</v>
      </c>
      <c r="J214">
        <v>10</v>
      </c>
      <c r="K214">
        <v>423.55</v>
      </c>
      <c r="L214">
        <v>165.28</v>
      </c>
      <c r="M214">
        <v>495.84000000000003</v>
      </c>
      <c r="N214">
        <v>28</v>
      </c>
      <c r="O214" t="s">
        <v>26</v>
      </c>
      <c r="P214" t="s">
        <v>46</v>
      </c>
    </row>
    <row r="215" spans="1:16">
      <c r="A215">
        <v>100898</v>
      </c>
      <c r="B215" s="4">
        <v>45859</v>
      </c>
      <c r="C215" t="s">
        <v>266</v>
      </c>
      <c r="D215" t="s">
        <v>87</v>
      </c>
      <c r="E215" t="s">
        <v>25</v>
      </c>
      <c r="F215" t="s">
        <v>1237</v>
      </c>
      <c r="G215" t="s">
        <v>18</v>
      </c>
      <c r="H215">
        <v>3</v>
      </c>
      <c r="I215">
        <v>79.150000000000006</v>
      </c>
      <c r="J215">
        <v>10</v>
      </c>
      <c r="K215">
        <v>213.71</v>
      </c>
      <c r="L215">
        <v>55.45</v>
      </c>
      <c r="M215">
        <v>166.35000000000002</v>
      </c>
      <c r="N215">
        <v>41</v>
      </c>
      <c r="O215" t="s">
        <v>19</v>
      </c>
      <c r="P215" t="s">
        <v>27</v>
      </c>
    </row>
    <row r="216" spans="1:16">
      <c r="A216">
        <v>100934</v>
      </c>
      <c r="B216" s="4">
        <v>45381</v>
      </c>
      <c r="C216" t="s">
        <v>267</v>
      </c>
      <c r="D216" t="s">
        <v>70</v>
      </c>
      <c r="E216" t="s">
        <v>25</v>
      </c>
      <c r="F216" t="s">
        <v>1241</v>
      </c>
      <c r="G216" t="s">
        <v>18</v>
      </c>
      <c r="H216">
        <v>3</v>
      </c>
      <c r="I216">
        <v>152.31</v>
      </c>
      <c r="J216">
        <v>0</v>
      </c>
      <c r="K216">
        <v>456.93</v>
      </c>
      <c r="L216">
        <v>191.73</v>
      </c>
      <c r="M216">
        <v>575.18999999999994</v>
      </c>
      <c r="N216">
        <v>22</v>
      </c>
      <c r="O216" t="s">
        <v>26</v>
      </c>
      <c r="P216" t="s">
        <v>51</v>
      </c>
    </row>
    <row r="217" spans="1:16">
      <c r="A217">
        <v>100048</v>
      </c>
      <c r="B217" s="4">
        <v>45379</v>
      </c>
      <c r="C217" t="s">
        <v>939</v>
      </c>
      <c r="D217" t="s">
        <v>73</v>
      </c>
      <c r="E217" t="s">
        <v>25</v>
      </c>
      <c r="F217" t="s">
        <v>1237</v>
      </c>
      <c r="G217" t="s">
        <v>64</v>
      </c>
      <c r="H217">
        <v>2</v>
      </c>
      <c r="I217">
        <v>36.24</v>
      </c>
      <c r="J217">
        <v>0</v>
      </c>
      <c r="K217">
        <v>72.48</v>
      </c>
      <c r="L217">
        <v>24.55</v>
      </c>
      <c r="M217">
        <v>49.1</v>
      </c>
      <c r="N217">
        <v>16</v>
      </c>
      <c r="O217" t="s">
        <v>19</v>
      </c>
      <c r="P217" t="s">
        <v>27</v>
      </c>
    </row>
    <row r="218" spans="1:16">
      <c r="A218">
        <v>100171</v>
      </c>
      <c r="B218" s="4">
        <v>45118</v>
      </c>
      <c r="C218" t="s">
        <v>936</v>
      </c>
      <c r="D218" t="s">
        <v>24</v>
      </c>
      <c r="E218" t="s">
        <v>25</v>
      </c>
      <c r="F218" t="s">
        <v>1238</v>
      </c>
      <c r="G218" t="s">
        <v>64</v>
      </c>
      <c r="H218">
        <v>3</v>
      </c>
      <c r="I218">
        <v>84.74</v>
      </c>
      <c r="J218">
        <v>0</v>
      </c>
      <c r="K218">
        <v>254.22</v>
      </c>
      <c r="L218">
        <v>79.44</v>
      </c>
      <c r="M218">
        <v>238.32</v>
      </c>
      <c r="N218">
        <v>42</v>
      </c>
      <c r="O218" t="s">
        <v>26</v>
      </c>
      <c r="P218" t="s">
        <v>81</v>
      </c>
    </row>
    <row r="219" spans="1:16">
      <c r="A219">
        <v>100247</v>
      </c>
      <c r="B219" s="4">
        <v>45821</v>
      </c>
      <c r="C219" t="s">
        <v>270</v>
      </c>
      <c r="D219" t="s">
        <v>24</v>
      </c>
      <c r="E219" t="s">
        <v>25</v>
      </c>
      <c r="F219" t="s">
        <v>1237</v>
      </c>
      <c r="G219" t="s">
        <v>31</v>
      </c>
      <c r="H219">
        <v>5</v>
      </c>
      <c r="I219">
        <v>92.32</v>
      </c>
      <c r="J219">
        <v>20</v>
      </c>
      <c r="K219">
        <v>369.28</v>
      </c>
      <c r="L219">
        <v>110.32</v>
      </c>
      <c r="M219">
        <v>551.59999999999991</v>
      </c>
      <c r="N219">
        <v>36</v>
      </c>
      <c r="O219" t="s">
        <v>19</v>
      </c>
      <c r="P219" t="s">
        <v>46</v>
      </c>
    </row>
    <row r="220" spans="1:16">
      <c r="A220">
        <v>100476</v>
      </c>
      <c r="B220" s="4">
        <v>45191</v>
      </c>
      <c r="C220" t="s">
        <v>933</v>
      </c>
      <c r="D220" t="s">
        <v>42</v>
      </c>
      <c r="E220" t="s">
        <v>25</v>
      </c>
      <c r="F220" t="s">
        <v>1238</v>
      </c>
      <c r="G220" t="s">
        <v>64</v>
      </c>
      <c r="H220">
        <v>3</v>
      </c>
      <c r="I220">
        <v>157.22</v>
      </c>
      <c r="J220">
        <v>0</v>
      </c>
      <c r="K220">
        <v>471.66</v>
      </c>
      <c r="L220">
        <v>134.22</v>
      </c>
      <c r="M220">
        <v>402.65999999999997</v>
      </c>
      <c r="N220">
        <v>28</v>
      </c>
      <c r="O220" t="s">
        <v>19</v>
      </c>
      <c r="P220" t="s">
        <v>20</v>
      </c>
    </row>
    <row r="221" spans="1:16">
      <c r="A221">
        <v>100372</v>
      </c>
      <c r="B221" s="4">
        <v>45233</v>
      </c>
      <c r="C221" t="s">
        <v>931</v>
      </c>
      <c r="D221" t="s">
        <v>24</v>
      </c>
      <c r="E221" t="s">
        <v>25</v>
      </c>
      <c r="F221" t="s">
        <v>1239</v>
      </c>
      <c r="G221" t="s">
        <v>18</v>
      </c>
      <c r="H221">
        <v>3</v>
      </c>
      <c r="I221">
        <v>90.24</v>
      </c>
      <c r="J221">
        <v>5</v>
      </c>
      <c r="K221">
        <v>257.18</v>
      </c>
      <c r="L221">
        <v>88.24</v>
      </c>
      <c r="M221">
        <v>264.71999999999997</v>
      </c>
      <c r="N221">
        <v>25</v>
      </c>
      <c r="O221" t="s">
        <v>19</v>
      </c>
      <c r="P221" t="s">
        <v>35</v>
      </c>
    </row>
    <row r="222" spans="1:16">
      <c r="A222">
        <v>101151</v>
      </c>
      <c r="B222" s="4">
        <v>45824</v>
      </c>
      <c r="C222" t="s">
        <v>929</v>
      </c>
      <c r="D222" t="s">
        <v>87</v>
      </c>
      <c r="E222" t="s">
        <v>25</v>
      </c>
      <c r="F222" t="s">
        <v>1241</v>
      </c>
      <c r="G222" t="s">
        <v>48</v>
      </c>
      <c r="H222">
        <v>3</v>
      </c>
      <c r="I222">
        <v>89.65</v>
      </c>
      <c r="J222">
        <v>0</v>
      </c>
      <c r="K222">
        <v>268.95</v>
      </c>
      <c r="L222">
        <v>98.54</v>
      </c>
      <c r="M222">
        <v>295.62</v>
      </c>
      <c r="N222">
        <v>47</v>
      </c>
      <c r="O222" t="s">
        <v>26</v>
      </c>
      <c r="P222" t="s">
        <v>81</v>
      </c>
    </row>
    <row r="223" spans="1:16">
      <c r="A223">
        <v>100967</v>
      </c>
      <c r="B223" s="4">
        <v>45423</v>
      </c>
      <c r="C223" t="s">
        <v>274</v>
      </c>
      <c r="D223" t="s">
        <v>87</v>
      </c>
      <c r="E223" t="s">
        <v>25</v>
      </c>
      <c r="F223" t="s">
        <v>1241</v>
      </c>
      <c r="G223" t="s">
        <v>64</v>
      </c>
      <c r="H223">
        <v>3</v>
      </c>
      <c r="I223">
        <v>80.41</v>
      </c>
      <c r="J223">
        <v>10</v>
      </c>
      <c r="K223">
        <v>217.11</v>
      </c>
      <c r="L223">
        <v>73.760000000000005</v>
      </c>
      <c r="M223">
        <v>221.28000000000003</v>
      </c>
      <c r="N223">
        <v>37</v>
      </c>
      <c r="O223" t="s">
        <v>19</v>
      </c>
      <c r="P223" t="s">
        <v>81</v>
      </c>
    </row>
    <row r="224" spans="1:16">
      <c r="A224">
        <v>101004</v>
      </c>
      <c r="B224" s="4">
        <v>45631</v>
      </c>
      <c r="C224" t="s">
        <v>275</v>
      </c>
      <c r="D224" t="s">
        <v>87</v>
      </c>
      <c r="E224" t="s">
        <v>25</v>
      </c>
      <c r="F224" t="s">
        <v>1241</v>
      </c>
      <c r="G224" t="s">
        <v>18</v>
      </c>
      <c r="H224">
        <v>4</v>
      </c>
      <c r="I224">
        <v>83.71</v>
      </c>
      <c r="J224">
        <v>0</v>
      </c>
      <c r="K224">
        <v>334.84</v>
      </c>
      <c r="L224">
        <v>75.38</v>
      </c>
      <c r="M224">
        <v>301.52</v>
      </c>
      <c r="N224">
        <v>20</v>
      </c>
      <c r="O224" t="s">
        <v>26</v>
      </c>
      <c r="P224" t="s">
        <v>51</v>
      </c>
    </row>
    <row r="225" spans="1:16">
      <c r="A225">
        <v>100744</v>
      </c>
      <c r="B225" s="4">
        <v>44957</v>
      </c>
      <c r="C225" t="s">
        <v>928</v>
      </c>
      <c r="D225" t="s">
        <v>87</v>
      </c>
      <c r="E225" t="s">
        <v>25</v>
      </c>
      <c r="F225" t="s">
        <v>1239</v>
      </c>
      <c r="G225" t="s">
        <v>31</v>
      </c>
      <c r="H225">
        <v>1</v>
      </c>
      <c r="I225">
        <v>81.45</v>
      </c>
      <c r="J225">
        <v>0</v>
      </c>
      <c r="K225">
        <v>81.45</v>
      </c>
      <c r="L225">
        <v>26.5</v>
      </c>
      <c r="M225">
        <v>26.5</v>
      </c>
      <c r="N225">
        <v>45</v>
      </c>
      <c r="O225" t="s">
        <v>26</v>
      </c>
      <c r="P225" t="s">
        <v>35</v>
      </c>
    </row>
    <row r="226" spans="1:16">
      <c r="A226">
        <v>101035</v>
      </c>
      <c r="B226" s="4">
        <v>45020</v>
      </c>
      <c r="C226" t="s">
        <v>926</v>
      </c>
      <c r="D226" t="s">
        <v>70</v>
      </c>
      <c r="E226" t="s">
        <v>25</v>
      </c>
      <c r="F226" t="s">
        <v>1238</v>
      </c>
      <c r="G226" t="s">
        <v>31</v>
      </c>
      <c r="H226">
        <v>2</v>
      </c>
      <c r="I226">
        <v>150.16</v>
      </c>
      <c r="J226">
        <v>5</v>
      </c>
      <c r="K226">
        <v>285.3</v>
      </c>
      <c r="L226">
        <v>104.02</v>
      </c>
      <c r="M226">
        <v>208.04</v>
      </c>
      <c r="N226">
        <v>24</v>
      </c>
      <c r="O226" t="s">
        <v>122</v>
      </c>
      <c r="P226" t="s">
        <v>51</v>
      </c>
    </row>
    <row r="227" spans="1:16">
      <c r="A227">
        <v>100496</v>
      </c>
      <c r="B227" s="4">
        <v>45499</v>
      </c>
      <c r="C227" t="s">
        <v>924</v>
      </c>
      <c r="D227" t="s">
        <v>24</v>
      </c>
      <c r="E227" t="s">
        <v>25</v>
      </c>
      <c r="F227" t="s">
        <v>1238</v>
      </c>
      <c r="G227" t="s">
        <v>18</v>
      </c>
      <c r="H227">
        <v>4</v>
      </c>
      <c r="I227">
        <v>103.78</v>
      </c>
      <c r="J227">
        <v>0</v>
      </c>
      <c r="K227">
        <v>415.12</v>
      </c>
      <c r="L227">
        <v>115.8</v>
      </c>
      <c r="M227">
        <v>463.2</v>
      </c>
      <c r="N227">
        <v>30</v>
      </c>
      <c r="O227" t="s">
        <v>26</v>
      </c>
      <c r="P227" t="s">
        <v>20</v>
      </c>
    </row>
    <row r="228" spans="1:16">
      <c r="A228">
        <v>100606</v>
      </c>
      <c r="B228" s="4">
        <v>45712</v>
      </c>
      <c r="C228" t="s">
        <v>921</v>
      </c>
      <c r="D228" t="s">
        <v>39</v>
      </c>
      <c r="E228" t="s">
        <v>25</v>
      </c>
      <c r="F228" t="s">
        <v>1238</v>
      </c>
      <c r="G228" t="s">
        <v>18</v>
      </c>
      <c r="H228">
        <v>4</v>
      </c>
      <c r="I228">
        <v>161.56</v>
      </c>
      <c r="J228">
        <v>10</v>
      </c>
      <c r="K228">
        <v>581.62</v>
      </c>
      <c r="L228">
        <v>180</v>
      </c>
      <c r="M228">
        <v>720</v>
      </c>
      <c r="N228">
        <v>31</v>
      </c>
      <c r="O228" t="s">
        <v>19</v>
      </c>
      <c r="P228" t="s">
        <v>81</v>
      </c>
    </row>
    <row r="229" spans="1:16">
      <c r="A229">
        <v>100083</v>
      </c>
      <c r="B229" s="4">
        <v>45362</v>
      </c>
      <c r="C229" t="s">
        <v>280</v>
      </c>
      <c r="D229" t="s">
        <v>87</v>
      </c>
      <c r="E229" t="s">
        <v>25</v>
      </c>
      <c r="F229" t="s">
        <v>1237</v>
      </c>
      <c r="G229" t="s">
        <v>48</v>
      </c>
      <c r="H229">
        <v>3</v>
      </c>
      <c r="I229">
        <v>87.25</v>
      </c>
      <c r="J229">
        <v>0</v>
      </c>
      <c r="K229">
        <v>261.75</v>
      </c>
      <c r="L229">
        <v>56.23</v>
      </c>
      <c r="M229">
        <v>168.69</v>
      </c>
      <c r="N229">
        <v>29</v>
      </c>
      <c r="O229" t="s">
        <v>19</v>
      </c>
      <c r="P229" t="s">
        <v>27</v>
      </c>
    </row>
    <row r="230" spans="1:16">
      <c r="A230">
        <v>100127</v>
      </c>
      <c r="B230" s="4">
        <v>45256</v>
      </c>
      <c r="C230" t="s">
        <v>913</v>
      </c>
      <c r="D230" t="s">
        <v>100</v>
      </c>
      <c r="E230" t="s">
        <v>25</v>
      </c>
      <c r="F230" t="s">
        <v>1241</v>
      </c>
      <c r="G230" t="s">
        <v>31</v>
      </c>
      <c r="H230">
        <v>2</v>
      </c>
      <c r="I230">
        <v>108.44</v>
      </c>
      <c r="J230">
        <v>10</v>
      </c>
      <c r="K230">
        <v>195.19</v>
      </c>
      <c r="L230">
        <v>44.82</v>
      </c>
      <c r="M230">
        <v>89.64</v>
      </c>
      <c r="N230">
        <v>23</v>
      </c>
      <c r="O230" t="s">
        <v>19</v>
      </c>
      <c r="P230" t="s">
        <v>43</v>
      </c>
    </row>
    <row r="231" spans="1:16">
      <c r="A231">
        <v>100792</v>
      </c>
      <c r="B231" s="4">
        <v>45709</v>
      </c>
      <c r="C231" t="s">
        <v>911</v>
      </c>
      <c r="D231" t="s">
        <v>68</v>
      </c>
      <c r="E231" t="s">
        <v>25</v>
      </c>
      <c r="F231" t="s">
        <v>1239</v>
      </c>
      <c r="G231" t="s">
        <v>31</v>
      </c>
      <c r="H231">
        <v>4</v>
      </c>
      <c r="I231">
        <v>252.89</v>
      </c>
      <c r="J231">
        <v>0</v>
      </c>
      <c r="K231">
        <v>1011.56</v>
      </c>
      <c r="L231">
        <v>324.7</v>
      </c>
      <c r="M231">
        <v>1298.8</v>
      </c>
      <c r="N231">
        <v>25</v>
      </c>
      <c r="O231" t="s">
        <v>26</v>
      </c>
      <c r="P231" t="s">
        <v>51</v>
      </c>
    </row>
    <row r="232" spans="1:16">
      <c r="A232">
        <v>100734</v>
      </c>
      <c r="B232" s="4">
        <v>45659</v>
      </c>
      <c r="C232" t="s">
        <v>910</v>
      </c>
      <c r="D232" t="s">
        <v>73</v>
      </c>
      <c r="E232" t="s">
        <v>25</v>
      </c>
      <c r="F232" t="s">
        <v>1241</v>
      </c>
      <c r="G232" t="s">
        <v>31</v>
      </c>
      <c r="H232">
        <v>2</v>
      </c>
      <c r="I232">
        <v>35.51</v>
      </c>
      <c r="J232">
        <v>0</v>
      </c>
      <c r="K232">
        <v>71.02</v>
      </c>
      <c r="L232">
        <v>25.62</v>
      </c>
      <c r="M232">
        <v>51.24</v>
      </c>
      <c r="N232">
        <v>42</v>
      </c>
      <c r="O232" t="s">
        <v>26</v>
      </c>
      <c r="P232" t="s">
        <v>27</v>
      </c>
    </row>
    <row r="233" spans="1:16">
      <c r="A233">
        <v>101143</v>
      </c>
      <c r="B233" s="4">
        <v>45831</v>
      </c>
      <c r="C233" t="s">
        <v>909</v>
      </c>
      <c r="D233" t="s">
        <v>70</v>
      </c>
      <c r="E233" t="s">
        <v>25</v>
      </c>
      <c r="F233" t="s">
        <v>1240</v>
      </c>
      <c r="G233" t="s">
        <v>18</v>
      </c>
      <c r="H233">
        <v>3</v>
      </c>
      <c r="I233">
        <v>141.38</v>
      </c>
      <c r="J233">
        <v>10</v>
      </c>
      <c r="K233">
        <v>381.73</v>
      </c>
      <c r="L233">
        <v>117.96</v>
      </c>
      <c r="M233">
        <v>353.88</v>
      </c>
      <c r="N233">
        <v>24</v>
      </c>
      <c r="O233" t="s">
        <v>26</v>
      </c>
      <c r="P233" t="s">
        <v>32</v>
      </c>
    </row>
    <row r="234" spans="1:16">
      <c r="A234">
        <v>100872</v>
      </c>
      <c r="B234" s="4">
        <v>45306</v>
      </c>
      <c r="C234" t="s">
        <v>907</v>
      </c>
      <c r="D234" t="s">
        <v>73</v>
      </c>
      <c r="E234" t="s">
        <v>25</v>
      </c>
      <c r="F234" t="s">
        <v>1241</v>
      </c>
      <c r="G234" t="s">
        <v>18</v>
      </c>
      <c r="H234">
        <v>4</v>
      </c>
      <c r="I234">
        <v>32.76</v>
      </c>
      <c r="J234">
        <v>5</v>
      </c>
      <c r="K234">
        <v>124.49</v>
      </c>
      <c r="L234">
        <v>35.81</v>
      </c>
      <c r="M234">
        <v>143.24</v>
      </c>
      <c r="N234">
        <v>27</v>
      </c>
      <c r="O234" t="s">
        <v>26</v>
      </c>
      <c r="P234" t="s">
        <v>43</v>
      </c>
    </row>
    <row r="235" spans="1:16">
      <c r="A235">
        <v>100644</v>
      </c>
      <c r="B235" s="4">
        <v>45519</v>
      </c>
      <c r="C235" t="s">
        <v>286</v>
      </c>
      <c r="D235" t="s">
        <v>42</v>
      </c>
      <c r="E235" t="s">
        <v>25</v>
      </c>
      <c r="F235" t="s">
        <v>1237</v>
      </c>
      <c r="G235" t="s">
        <v>18</v>
      </c>
      <c r="H235">
        <v>3</v>
      </c>
      <c r="I235">
        <v>161.80000000000001</v>
      </c>
      <c r="J235">
        <v>0</v>
      </c>
      <c r="K235">
        <v>485.4</v>
      </c>
      <c r="L235">
        <v>184.18</v>
      </c>
      <c r="M235">
        <v>552.54</v>
      </c>
      <c r="N235">
        <v>20</v>
      </c>
      <c r="O235" t="s">
        <v>19</v>
      </c>
      <c r="P235" t="s">
        <v>81</v>
      </c>
    </row>
    <row r="236" spans="1:16">
      <c r="A236">
        <v>100973</v>
      </c>
      <c r="B236" s="4">
        <v>45821</v>
      </c>
      <c r="C236" t="s">
        <v>287</v>
      </c>
      <c r="D236" t="s">
        <v>70</v>
      </c>
      <c r="E236" t="s">
        <v>25</v>
      </c>
      <c r="F236" t="s">
        <v>1237</v>
      </c>
      <c r="G236" t="s">
        <v>31</v>
      </c>
      <c r="H236">
        <v>3</v>
      </c>
      <c r="I236">
        <v>142.9</v>
      </c>
      <c r="J236">
        <v>0</v>
      </c>
      <c r="K236">
        <v>428.7</v>
      </c>
      <c r="L236">
        <v>137.94999999999999</v>
      </c>
      <c r="M236">
        <v>413.84999999999997</v>
      </c>
      <c r="N236">
        <v>34</v>
      </c>
      <c r="O236" t="s">
        <v>26</v>
      </c>
      <c r="P236" t="s">
        <v>46</v>
      </c>
    </row>
    <row r="237" spans="1:16">
      <c r="A237">
        <v>100382</v>
      </c>
      <c r="B237" s="4">
        <v>45767</v>
      </c>
      <c r="C237" t="s">
        <v>288</v>
      </c>
      <c r="D237" t="s">
        <v>70</v>
      </c>
      <c r="E237" t="s">
        <v>25</v>
      </c>
      <c r="F237" t="s">
        <v>1241</v>
      </c>
      <c r="G237" t="s">
        <v>18</v>
      </c>
      <c r="H237">
        <v>4</v>
      </c>
      <c r="I237">
        <v>160.12</v>
      </c>
      <c r="J237">
        <v>0</v>
      </c>
      <c r="K237">
        <v>640.48</v>
      </c>
      <c r="L237">
        <v>210.06</v>
      </c>
      <c r="M237">
        <v>840.24</v>
      </c>
      <c r="N237">
        <v>24</v>
      </c>
      <c r="O237" t="s">
        <v>26</v>
      </c>
      <c r="P237" t="s">
        <v>35</v>
      </c>
    </row>
    <row r="238" spans="1:16">
      <c r="A238">
        <v>100867</v>
      </c>
      <c r="B238" s="4">
        <v>45142</v>
      </c>
      <c r="C238" t="s">
        <v>289</v>
      </c>
      <c r="D238" t="s">
        <v>100</v>
      </c>
      <c r="E238" t="s">
        <v>25</v>
      </c>
      <c r="F238" t="s">
        <v>1237</v>
      </c>
      <c r="G238" t="s">
        <v>48</v>
      </c>
      <c r="H238">
        <v>3</v>
      </c>
      <c r="I238">
        <v>138.03</v>
      </c>
      <c r="J238">
        <v>0</v>
      </c>
      <c r="K238">
        <v>414.09</v>
      </c>
      <c r="L238">
        <v>137.47999999999999</v>
      </c>
      <c r="M238">
        <v>412.43999999999994</v>
      </c>
      <c r="N238">
        <v>19</v>
      </c>
      <c r="O238" t="s">
        <v>19</v>
      </c>
      <c r="P238" t="s">
        <v>20</v>
      </c>
    </row>
    <row r="239" spans="1:16">
      <c r="A239">
        <v>101199</v>
      </c>
      <c r="B239" s="4">
        <v>45275</v>
      </c>
      <c r="C239" t="s">
        <v>905</v>
      </c>
      <c r="D239" t="s">
        <v>42</v>
      </c>
      <c r="E239" t="s">
        <v>25</v>
      </c>
      <c r="F239" t="s">
        <v>1240</v>
      </c>
      <c r="G239" t="s">
        <v>31</v>
      </c>
      <c r="H239">
        <v>2</v>
      </c>
      <c r="I239">
        <v>176.23</v>
      </c>
      <c r="J239">
        <v>0</v>
      </c>
      <c r="K239">
        <v>352.46</v>
      </c>
      <c r="L239">
        <v>120.59</v>
      </c>
      <c r="M239">
        <v>241.18</v>
      </c>
      <c r="N239">
        <v>36</v>
      </c>
      <c r="O239" t="s">
        <v>26</v>
      </c>
      <c r="P239" t="s">
        <v>51</v>
      </c>
    </row>
    <row r="240" spans="1:16">
      <c r="A240">
        <v>101193</v>
      </c>
      <c r="B240" s="4">
        <v>45799</v>
      </c>
      <c r="C240" t="s">
        <v>291</v>
      </c>
      <c r="D240" t="s">
        <v>42</v>
      </c>
      <c r="E240" t="s">
        <v>25</v>
      </c>
      <c r="F240" t="s">
        <v>1237</v>
      </c>
      <c r="G240" t="s">
        <v>31</v>
      </c>
      <c r="H240">
        <v>3</v>
      </c>
      <c r="I240">
        <v>156.99</v>
      </c>
      <c r="J240">
        <v>20</v>
      </c>
      <c r="K240">
        <v>376.78</v>
      </c>
      <c r="L240">
        <v>142.68</v>
      </c>
      <c r="M240">
        <v>428.04</v>
      </c>
      <c r="N240">
        <v>25</v>
      </c>
      <c r="O240" t="s">
        <v>19</v>
      </c>
      <c r="P240" t="s">
        <v>43</v>
      </c>
    </row>
    <row r="241" spans="1:16">
      <c r="A241">
        <v>100874</v>
      </c>
      <c r="B241" s="4">
        <v>45431</v>
      </c>
      <c r="C241" t="s">
        <v>292</v>
      </c>
      <c r="D241" t="s">
        <v>100</v>
      </c>
      <c r="E241" t="s">
        <v>25</v>
      </c>
      <c r="F241" t="s">
        <v>1241</v>
      </c>
      <c r="G241" t="s">
        <v>48</v>
      </c>
      <c r="H241">
        <v>4</v>
      </c>
      <c r="I241">
        <v>134.99</v>
      </c>
      <c r="J241">
        <v>20</v>
      </c>
      <c r="K241">
        <v>431.97</v>
      </c>
      <c r="L241">
        <v>106.8</v>
      </c>
      <c r="M241">
        <v>427.2</v>
      </c>
      <c r="N241">
        <v>36</v>
      </c>
      <c r="O241" t="s">
        <v>26</v>
      </c>
      <c r="P241" t="s">
        <v>20</v>
      </c>
    </row>
    <row r="242" spans="1:16">
      <c r="A242">
        <v>100625</v>
      </c>
      <c r="B242" s="4">
        <v>45447</v>
      </c>
      <c r="C242" t="s">
        <v>904</v>
      </c>
      <c r="D242" t="s">
        <v>87</v>
      </c>
      <c r="E242" t="s">
        <v>25</v>
      </c>
      <c r="F242" t="s">
        <v>1237</v>
      </c>
      <c r="G242" t="s">
        <v>18</v>
      </c>
      <c r="H242">
        <v>4</v>
      </c>
      <c r="I242">
        <v>83.94</v>
      </c>
      <c r="J242">
        <v>5</v>
      </c>
      <c r="K242">
        <v>318.97000000000003</v>
      </c>
      <c r="L242">
        <v>118.43</v>
      </c>
      <c r="M242">
        <v>473.72</v>
      </c>
      <c r="N242">
        <v>25</v>
      </c>
      <c r="O242" t="s">
        <v>19</v>
      </c>
      <c r="P242" t="s">
        <v>27</v>
      </c>
    </row>
    <row r="243" spans="1:16">
      <c r="A243">
        <v>100409</v>
      </c>
      <c r="B243" s="4">
        <v>45604</v>
      </c>
      <c r="C243" t="s">
        <v>294</v>
      </c>
      <c r="D243" t="s">
        <v>87</v>
      </c>
      <c r="E243" t="s">
        <v>25</v>
      </c>
      <c r="F243" t="s">
        <v>1241</v>
      </c>
      <c r="G243" t="s">
        <v>31</v>
      </c>
      <c r="H243">
        <v>4</v>
      </c>
      <c r="I243">
        <v>88.17</v>
      </c>
      <c r="J243">
        <v>0</v>
      </c>
      <c r="K243">
        <v>352.68</v>
      </c>
      <c r="L243">
        <v>91.08</v>
      </c>
      <c r="M243">
        <v>364.32</v>
      </c>
      <c r="N243">
        <v>46</v>
      </c>
      <c r="O243" t="s">
        <v>26</v>
      </c>
      <c r="P243" t="s">
        <v>27</v>
      </c>
    </row>
    <row r="244" spans="1:16">
      <c r="A244">
        <v>100076</v>
      </c>
      <c r="B244" s="4">
        <v>45924</v>
      </c>
      <c r="C244" t="s">
        <v>295</v>
      </c>
      <c r="D244" t="s">
        <v>70</v>
      </c>
      <c r="E244" t="s">
        <v>25</v>
      </c>
      <c r="F244" t="s">
        <v>1237</v>
      </c>
      <c r="G244" t="s">
        <v>18</v>
      </c>
      <c r="H244">
        <v>5</v>
      </c>
      <c r="I244">
        <v>153.55000000000001</v>
      </c>
      <c r="J244">
        <v>0</v>
      </c>
      <c r="K244">
        <v>767.75</v>
      </c>
      <c r="L244">
        <v>188.2</v>
      </c>
      <c r="M244">
        <v>941</v>
      </c>
      <c r="N244">
        <v>17</v>
      </c>
      <c r="O244" t="s">
        <v>19</v>
      </c>
      <c r="P244" t="s">
        <v>46</v>
      </c>
    </row>
    <row r="245" spans="1:16">
      <c r="A245">
        <v>100287</v>
      </c>
      <c r="B245" s="4">
        <v>45332</v>
      </c>
      <c r="C245" t="s">
        <v>903</v>
      </c>
      <c r="D245" t="s">
        <v>39</v>
      </c>
      <c r="E245" t="s">
        <v>25</v>
      </c>
      <c r="F245" t="s">
        <v>1239</v>
      </c>
      <c r="G245" t="s">
        <v>18</v>
      </c>
      <c r="H245">
        <v>1</v>
      </c>
      <c r="I245">
        <v>153.12</v>
      </c>
      <c r="J245">
        <v>0</v>
      </c>
      <c r="K245">
        <v>153.12</v>
      </c>
      <c r="L245">
        <v>49.61</v>
      </c>
      <c r="M245">
        <v>49.61</v>
      </c>
      <c r="N245">
        <v>19</v>
      </c>
      <c r="O245" t="s">
        <v>26</v>
      </c>
      <c r="P245" t="s">
        <v>81</v>
      </c>
    </row>
    <row r="246" spans="1:16">
      <c r="A246">
        <v>100853</v>
      </c>
      <c r="B246" s="4">
        <v>45651</v>
      </c>
      <c r="C246" t="s">
        <v>127</v>
      </c>
      <c r="D246" t="s">
        <v>39</v>
      </c>
      <c r="E246" t="s">
        <v>25</v>
      </c>
      <c r="F246" t="s">
        <v>1237</v>
      </c>
      <c r="G246" t="s">
        <v>31</v>
      </c>
      <c r="H246">
        <v>3</v>
      </c>
      <c r="I246">
        <v>176.67</v>
      </c>
      <c r="J246">
        <v>0</v>
      </c>
      <c r="K246">
        <v>530.01</v>
      </c>
      <c r="L246">
        <v>197.42</v>
      </c>
      <c r="M246">
        <v>592.26</v>
      </c>
      <c r="N246">
        <v>18</v>
      </c>
      <c r="O246" t="s">
        <v>19</v>
      </c>
      <c r="P246" t="s">
        <v>27</v>
      </c>
    </row>
    <row r="247" spans="1:16">
      <c r="A247">
        <v>100489</v>
      </c>
      <c r="B247" s="4">
        <v>45914</v>
      </c>
      <c r="C247" t="s">
        <v>899</v>
      </c>
      <c r="D247" t="s">
        <v>39</v>
      </c>
      <c r="E247" t="s">
        <v>25</v>
      </c>
      <c r="F247" t="s">
        <v>1237</v>
      </c>
      <c r="G247" t="s">
        <v>31</v>
      </c>
      <c r="H247">
        <v>4</v>
      </c>
      <c r="I247">
        <v>148.24</v>
      </c>
      <c r="J247">
        <v>0</v>
      </c>
      <c r="K247">
        <v>592.96</v>
      </c>
      <c r="L247">
        <v>197.2</v>
      </c>
      <c r="M247">
        <v>788.8</v>
      </c>
      <c r="N247">
        <v>20</v>
      </c>
      <c r="O247" t="s">
        <v>19</v>
      </c>
      <c r="P247" t="s">
        <v>27</v>
      </c>
    </row>
    <row r="248" spans="1:16">
      <c r="A248">
        <v>100673</v>
      </c>
      <c r="B248" s="4">
        <v>45709</v>
      </c>
      <c r="C248" t="s">
        <v>299</v>
      </c>
      <c r="D248" t="s">
        <v>70</v>
      </c>
      <c r="E248" t="s">
        <v>25</v>
      </c>
      <c r="F248" t="s">
        <v>1238</v>
      </c>
      <c r="G248" t="s">
        <v>18</v>
      </c>
      <c r="H248">
        <v>2</v>
      </c>
      <c r="I248">
        <v>147.27000000000001</v>
      </c>
      <c r="J248">
        <v>0</v>
      </c>
      <c r="K248">
        <v>294.54000000000002</v>
      </c>
      <c r="L248">
        <v>118.55</v>
      </c>
      <c r="M248">
        <v>237.1</v>
      </c>
      <c r="N248">
        <v>30</v>
      </c>
      <c r="O248" t="s">
        <v>26</v>
      </c>
      <c r="P248" t="s">
        <v>32</v>
      </c>
    </row>
    <row r="249" spans="1:16">
      <c r="A249">
        <v>100784</v>
      </c>
      <c r="B249" s="4">
        <v>45355</v>
      </c>
      <c r="C249" t="s">
        <v>897</v>
      </c>
      <c r="D249" t="s">
        <v>42</v>
      </c>
      <c r="E249" t="s">
        <v>25</v>
      </c>
      <c r="F249" t="s">
        <v>1241</v>
      </c>
      <c r="G249" t="s">
        <v>18</v>
      </c>
      <c r="H249">
        <v>5</v>
      </c>
      <c r="I249">
        <v>176.44</v>
      </c>
      <c r="J249">
        <v>5</v>
      </c>
      <c r="K249">
        <v>838.09</v>
      </c>
      <c r="L249">
        <v>149.75</v>
      </c>
      <c r="M249">
        <v>748.75</v>
      </c>
      <c r="N249">
        <v>35</v>
      </c>
      <c r="O249" t="s">
        <v>26</v>
      </c>
      <c r="P249" t="s">
        <v>46</v>
      </c>
    </row>
    <row r="250" spans="1:16">
      <c r="A250">
        <v>100063</v>
      </c>
      <c r="B250" s="4">
        <v>45504</v>
      </c>
      <c r="C250" t="s">
        <v>301</v>
      </c>
      <c r="D250" t="s">
        <v>73</v>
      </c>
      <c r="E250" t="s">
        <v>25</v>
      </c>
      <c r="F250" t="s">
        <v>1241</v>
      </c>
      <c r="G250" t="s">
        <v>18</v>
      </c>
      <c r="H250">
        <v>2</v>
      </c>
      <c r="I250">
        <v>33.42</v>
      </c>
      <c r="J250">
        <v>5</v>
      </c>
      <c r="K250">
        <v>63.5</v>
      </c>
      <c r="L250">
        <v>19.829999999999998</v>
      </c>
      <c r="M250">
        <v>39.659999999999997</v>
      </c>
      <c r="N250">
        <v>25</v>
      </c>
      <c r="O250" t="s">
        <v>19</v>
      </c>
      <c r="P250" t="s">
        <v>27</v>
      </c>
    </row>
    <row r="251" spans="1:16">
      <c r="A251">
        <v>100810</v>
      </c>
      <c r="B251" s="4">
        <v>45007</v>
      </c>
      <c r="C251" t="s">
        <v>894</v>
      </c>
      <c r="D251" t="s">
        <v>100</v>
      </c>
      <c r="E251" t="s">
        <v>25</v>
      </c>
      <c r="F251" t="s">
        <v>1237</v>
      </c>
      <c r="G251" t="s">
        <v>18</v>
      </c>
      <c r="H251">
        <v>3</v>
      </c>
      <c r="I251">
        <v>140.88999999999999</v>
      </c>
      <c r="J251">
        <v>40</v>
      </c>
      <c r="K251">
        <v>253.6</v>
      </c>
      <c r="L251">
        <v>85.72</v>
      </c>
      <c r="M251">
        <v>257.15999999999997</v>
      </c>
      <c r="N251">
        <v>43</v>
      </c>
      <c r="O251" t="s">
        <v>26</v>
      </c>
      <c r="P251" t="s">
        <v>32</v>
      </c>
    </row>
    <row r="252" spans="1:16">
      <c r="A252">
        <v>100175</v>
      </c>
      <c r="B252" s="4">
        <v>45737</v>
      </c>
      <c r="C252" t="s">
        <v>892</v>
      </c>
      <c r="D252" t="s">
        <v>73</v>
      </c>
      <c r="E252" t="s">
        <v>25</v>
      </c>
      <c r="F252" t="s">
        <v>1238</v>
      </c>
      <c r="G252" t="s">
        <v>18</v>
      </c>
      <c r="H252">
        <v>1</v>
      </c>
      <c r="I252">
        <v>33.53</v>
      </c>
      <c r="J252">
        <v>0</v>
      </c>
      <c r="K252">
        <v>33.53</v>
      </c>
      <c r="L252">
        <v>12.68</v>
      </c>
      <c r="M252">
        <v>12.68</v>
      </c>
      <c r="N252">
        <v>29</v>
      </c>
      <c r="O252" t="s">
        <v>26</v>
      </c>
      <c r="P252" t="s">
        <v>46</v>
      </c>
    </row>
    <row r="253" spans="1:16">
      <c r="A253">
        <v>100376</v>
      </c>
      <c r="B253" s="4">
        <v>45080</v>
      </c>
      <c r="C253" t="s">
        <v>304</v>
      </c>
      <c r="D253" t="s">
        <v>68</v>
      </c>
      <c r="E253" t="s">
        <v>25</v>
      </c>
      <c r="F253" t="s">
        <v>1237</v>
      </c>
      <c r="G253" t="s">
        <v>64</v>
      </c>
      <c r="H253">
        <v>1</v>
      </c>
      <c r="I253">
        <v>186.67</v>
      </c>
      <c r="J253">
        <v>0</v>
      </c>
      <c r="K253">
        <v>186.67</v>
      </c>
      <c r="L253">
        <v>57.99</v>
      </c>
      <c r="M253">
        <v>57.99</v>
      </c>
      <c r="N253">
        <v>41</v>
      </c>
      <c r="O253" t="s">
        <v>26</v>
      </c>
      <c r="P253" t="s">
        <v>27</v>
      </c>
    </row>
    <row r="254" spans="1:16">
      <c r="A254">
        <v>100038</v>
      </c>
      <c r="B254" s="4">
        <v>45812</v>
      </c>
      <c r="C254" t="s">
        <v>891</v>
      </c>
      <c r="D254" t="s">
        <v>42</v>
      </c>
      <c r="E254" t="s">
        <v>25</v>
      </c>
      <c r="F254" t="s">
        <v>1237</v>
      </c>
      <c r="G254" t="s">
        <v>48</v>
      </c>
      <c r="H254">
        <v>5</v>
      </c>
      <c r="I254">
        <v>163.9</v>
      </c>
      <c r="J254">
        <v>0</v>
      </c>
      <c r="K254">
        <v>819.5</v>
      </c>
      <c r="L254">
        <v>256.39</v>
      </c>
      <c r="M254">
        <v>1281.9499999999998</v>
      </c>
      <c r="N254">
        <v>37</v>
      </c>
      <c r="O254" t="s">
        <v>26</v>
      </c>
      <c r="P254" t="s">
        <v>43</v>
      </c>
    </row>
    <row r="255" spans="1:16">
      <c r="A255">
        <v>101070</v>
      </c>
      <c r="B255" s="4">
        <v>45297</v>
      </c>
      <c r="C255" t="s">
        <v>884</v>
      </c>
      <c r="D255" t="s">
        <v>39</v>
      </c>
      <c r="E255" t="s">
        <v>25</v>
      </c>
      <c r="F255" t="s">
        <v>1239</v>
      </c>
      <c r="G255" t="s">
        <v>18</v>
      </c>
      <c r="H255">
        <v>5</v>
      </c>
      <c r="I255">
        <v>185.68</v>
      </c>
      <c r="J255">
        <v>20</v>
      </c>
      <c r="K255">
        <v>742.72</v>
      </c>
      <c r="L255">
        <v>207.01</v>
      </c>
      <c r="M255">
        <v>1035.05</v>
      </c>
      <c r="N255">
        <v>24</v>
      </c>
      <c r="O255" t="s">
        <v>26</v>
      </c>
      <c r="P255" t="s">
        <v>35</v>
      </c>
    </row>
    <row r="256" spans="1:16">
      <c r="A256">
        <v>100019</v>
      </c>
      <c r="B256" s="4">
        <v>44996</v>
      </c>
      <c r="C256" t="s">
        <v>878</v>
      </c>
      <c r="D256" t="s">
        <v>70</v>
      </c>
      <c r="E256" t="s">
        <v>25</v>
      </c>
      <c r="F256" t="s">
        <v>1241</v>
      </c>
      <c r="G256" t="s">
        <v>18</v>
      </c>
      <c r="H256">
        <v>2</v>
      </c>
      <c r="I256">
        <v>154.15</v>
      </c>
      <c r="J256">
        <v>0</v>
      </c>
      <c r="K256">
        <v>308.3</v>
      </c>
      <c r="L256">
        <v>99.47</v>
      </c>
      <c r="M256">
        <v>198.94</v>
      </c>
      <c r="N256">
        <v>28</v>
      </c>
      <c r="O256" t="s">
        <v>19</v>
      </c>
      <c r="P256" t="s">
        <v>51</v>
      </c>
    </row>
    <row r="257" spans="1:16">
      <c r="A257">
        <v>100653</v>
      </c>
      <c r="B257" s="4">
        <v>45620</v>
      </c>
      <c r="C257" t="s">
        <v>873</v>
      </c>
      <c r="D257" t="s">
        <v>42</v>
      </c>
      <c r="E257" t="s">
        <v>25</v>
      </c>
      <c r="F257" t="s">
        <v>1241</v>
      </c>
      <c r="G257" t="s">
        <v>18</v>
      </c>
      <c r="H257">
        <v>3</v>
      </c>
      <c r="I257">
        <v>166.49</v>
      </c>
      <c r="J257">
        <v>5</v>
      </c>
      <c r="K257">
        <v>474.5</v>
      </c>
      <c r="L257">
        <v>134.59</v>
      </c>
      <c r="M257">
        <v>403.77</v>
      </c>
      <c r="N257">
        <v>28</v>
      </c>
      <c r="O257" t="s">
        <v>26</v>
      </c>
      <c r="P257" t="s">
        <v>32</v>
      </c>
    </row>
    <row r="258" spans="1:16">
      <c r="A258">
        <v>100224</v>
      </c>
      <c r="B258" s="4">
        <v>45106</v>
      </c>
      <c r="C258" t="s">
        <v>309</v>
      </c>
      <c r="D258" t="s">
        <v>100</v>
      </c>
      <c r="E258" t="s">
        <v>25</v>
      </c>
      <c r="F258" t="s">
        <v>1239</v>
      </c>
      <c r="G258" t="s">
        <v>48</v>
      </c>
      <c r="H258">
        <v>3</v>
      </c>
      <c r="I258">
        <v>119.72</v>
      </c>
      <c r="J258">
        <v>0</v>
      </c>
      <c r="K258">
        <v>359.16</v>
      </c>
      <c r="L258">
        <v>87.93</v>
      </c>
      <c r="M258">
        <v>263.79000000000002</v>
      </c>
      <c r="N258">
        <v>42</v>
      </c>
      <c r="O258" t="s">
        <v>26</v>
      </c>
      <c r="P258" t="s">
        <v>27</v>
      </c>
    </row>
    <row r="259" spans="1:16">
      <c r="A259">
        <v>100142</v>
      </c>
      <c r="B259" s="4">
        <v>45809</v>
      </c>
      <c r="C259" t="s">
        <v>871</v>
      </c>
      <c r="D259" t="s">
        <v>70</v>
      </c>
      <c r="E259" t="s">
        <v>25</v>
      </c>
      <c r="F259" t="s">
        <v>1238</v>
      </c>
      <c r="G259" t="s">
        <v>18</v>
      </c>
      <c r="H259">
        <v>3</v>
      </c>
      <c r="I259">
        <v>131.71</v>
      </c>
      <c r="J259">
        <v>5</v>
      </c>
      <c r="K259">
        <v>375.37</v>
      </c>
      <c r="L259">
        <v>97.63</v>
      </c>
      <c r="M259">
        <v>292.89</v>
      </c>
      <c r="N259">
        <v>22</v>
      </c>
      <c r="O259" t="s">
        <v>26</v>
      </c>
      <c r="P259" t="s">
        <v>32</v>
      </c>
    </row>
    <row r="260" spans="1:16">
      <c r="A260">
        <v>100353</v>
      </c>
      <c r="B260" s="4">
        <v>45019</v>
      </c>
      <c r="C260" t="s">
        <v>869</v>
      </c>
      <c r="D260" t="s">
        <v>70</v>
      </c>
      <c r="E260" t="s">
        <v>25</v>
      </c>
      <c r="F260" t="s">
        <v>1241</v>
      </c>
      <c r="G260" t="s">
        <v>31</v>
      </c>
      <c r="H260">
        <v>3</v>
      </c>
      <c r="I260">
        <v>148.06</v>
      </c>
      <c r="J260">
        <v>20</v>
      </c>
      <c r="K260">
        <v>355.34</v>
      </c>
      <c r="L260">
        <v>76.69</v>
      </c>
      <c r="M260">
        <v>230.07</v>
      </c>
      <c r="N260">
        <v>23</v>
      </c>
      <c r="O260" t="s">
        <v>26</v>
      </c>
      <c r="P260" t="s">
        <v>51</v>
      </c>
    </row>
    <row r="261" spans="1:16">
      <c r="A261">
        <v>101169</v>
      </c>
      <c r="B261" s="4">
        <v>45919</v>
      </c>
      <c r="C261" t="s">
        <v>312</v>
      </c>
      <c r="D261" t="s">
        <v>39</v>
      </c>
      <c r="E261" t="s">
        <v>25</v>
      </c>
      <c r="F261" t="s">
        <v>1237</v>
      </c>
      <c r="G261" t="s">
        <v>31</v>
      </c>
      <c r="H261">
        <v>4</v>
      </c>
      <c r="I261">
        <v>198.5</v>
      </c>
      <c r="J261">
        <v>5</v>
      </c>
      <c r="K261">
        <v>754.3</v>
      </c>
      <c r="L261">
        <v>256.14999999999998</v>
      </c>
      <c r="M261">
        <v>1024.5999999999999</v>
      </c>
      <c r="N261">
        <v>21</v>
      </c>
      <c r="O261" t="s">
        <v>26</v>
      </c>
      <c r="P261" t="s">
        <v>20</v>
      </c>
    </row>
    <row r="262" spans="1:16">
      <c r="A262">
        <v>100486</v>
      </c>
      <c r="B262" s="4">
        <v>45700</v>
      </c>
      <c r="C262" t="s">
        <v>313</v>
      </c>
      <c r="D262" t="s">
        <v>73</v>
      </c>
      <c r="E262" t="s">
        <v>25</v>
      </c>
      <c r="F262" t="s">
        <v>1237</v>
      </c>
      <c r="G262" t="s">
        <v>31</v>
      </c>
      <c r="H262">
        <v>1</v>
      </c>
      <c r="I262">
        <v>36.39</v>
      </c>
      <c r="J262">
        <v>5</v>
      </c>
      <c r="K262">
        <v>34.57</v>
      </c>
      <c r="L262">
        <v>10.45</v>
      </c>
      <c r="M262">
        <v>10.45</v>
      </c>
      <c r="N262">
        <v>25</v>
      </c>
      <c r="O262" t="s">
        <v>26</v>
      </c>
      <c r="P262" t="s">
        <v>46</v>
      </c>
    </row>
    <row r="263" spans="1:16">
      <c r="A263">
        <v>100352</v>
      </c>
      <c r="B263" s="4">
        <v>45503</v>
      </c>
      <c r="C263" t="s">
        <v>314</v>
      </c>
      <c r="D263" t="s">
        <v>73</v>
      </c>
      <c r="E263" t="s">
        <v>25</v>
      </c>
      <c r="F263" t="s">
        <v>1237</v>
      </c>
      <c r="G263" t="s">
        <v>64</v>
      </c>
      <c r="H263">
        <v>3</v>
      </c>
      <c r="I263">
        <v>31.9</v>
      </c>
      <c r="J263">
        <v>0</v>
      </c>
      <c r="K263">
        <v>95.7</v>
      </c>
      <c r="L263">
        <v>27.68</v>
      </c>
      <c r="M263">
        <v>83.039999999999992</v>
      </c>
      <c r="N263">
        <v>30</v>
      </c>
      <c r="O263" t="s">
        <v>26</v>
      </c>
      <c r="P263" t="s">
        <v>35</v>
      </c>
    </row>
    <row r="264" spans="1:16">
      <c r="A264">
        <v>100799</v>
      </c>
      <c r="B264" s="4">
        <v>45143</v>
      </c>
      <c r="C264" t="s">
        <v>868</v>
      </c>
      <c r="D264" t="s">
        <v>70</v>
      </c>
      <c r="E264" t="s">
        <v>25</v>
      </c>
      <c r="F264" t="s">
        <v>1241</v>
      </c>
      <c r="G264" t="s">
        <v>31</v>
      </c>
      <c r="H264">
        <v>3</v>
      </c>
      <c r="I264">
        <v>142.84</v>
      </c>
      <c r="J264">
        <v>0</v>
      </c>
      <c r="K264">
        <v>428.52</v>
      </c>
      <c r="L264">
        <v>125.72</v>
      </c>
      <c r="M264">
        <v>377.15999999999997</v>
      </c>
      <c r="N264">
        <v>25</v>
      </c>
      <c r="O264" t="s">
        <v>19</v>
      </c>
      <c r="P264" t="s">
        <v>32</v>
      </c>
    </row>
    <row r="265" spans="1:16">
      <c r="A265">
        <v>100617</v>
      </c>
      <c r="B265" s="4">
        <v>45132</v>
      </c>
      <c r="C265" t="s">
        <v>316</v>
      </c>
      <c r="D265" t="s">
        <v>73</v>
      </c>
      <c r="E265" t="s">
        <v>25</v>
      </c>
      <c r="F265" t="s">
        <v>1238</v>
      </c>
      <c r="G265" t="s">
        <v>31</v>
      </c>
      <c r="H265">
        <v>4</v>
      </c>
      <c r="I265">
        <v>30.43</v>
      </c>
      <c r="J265">
        <v>5</v>
      </c>
      <c r="K265">
        <v>115.63</v>
      </c>
      <c r="L265">
        <v>29.39</v>
      </c>
      <c r="M265">
        <v>117.56</v>
      </c>
      <c r="N265">
        <v>32</v>
      </c>
      <c r="O265" t="s">
        <v>19</v>
      </c>
      <c r="P265" t="s">
        <v>20</v>
      </c>
    </row>
    <row r="266" spans="1:16">
      <c r="A266">
        <v>100664</v>
      </c>
      <c r="B266" s="4">
        <v>45574</v>
      </c>
      <c r="C266" t="s">
        <v>865</v>
      </c>
      <c r="D266" t="s">
        <v>24</v>
      </c>
      <c r="E266" t="s">
        <v>25</v>
      </c>
      <c r="F266" t="s">
        <v>1239</v>
      </c>
      <c r="G266" t="s">
        <v>18</v>
      </c>
      <c r="H266">
        <v>1</v>
      </c>
      <c r="I266">
        <v>102.55</v>
      </c>
      <c r="J266">
        <v>5</v>
      </c>
      <c r="K266">
        <v>97.42</v>
      </c>
      <c r="L266">
        <v>24.8</v>
      </c>
      <c r="M266">
        <v>24.8</v>
      </c>
      <c r="N266">
        <v>35</v>
      </c>
      <c r="O266" t="s">
        <v>19</v>
      </c>
      <c r="P266" t="s">
        <v>20</v>
      </c>
    </row>
    <row r="267" spans="1:16">
      <c r="A267">
        <v>100774</v>
      </c>
      <c r="B267" s="4">
        <v>45207</v>
      </c>
      <c r="C267" t="s">
        <v>318</v>
      </c>
      <c r="D267" t="s">
        <v>24</v>
      </c>
      <c r="E267" t="s">
        <v>25</v>
      </c>
      <c r="F267" t="s">
        <v>1240</v>
      </c>
      <c r="G267" t="s">
        <v>31</v>
      </c>
      <c r="H267">
        <v>6</v>
      </c>
      <c r="I267">
        <v>95.51</v>
      </c>
      <c r="J267">
        <v>0</v>
      </c>
      <c r="K267">
        <v>573.05999999999995</v>
      </c>
      <c r="L267">
        <v>94.18</v>
      </c>
      <c r="M267">
        <v>565.08000000000004</v>
      </c>
      <c r="N267">
        <v>16</v>
      </c>
      <c r="O267" t="s">
        <v>26</v>
      </c>
      <c r="P267" t="s">
        <v>43</v>
      </c>
    </row>
    <row r="268" spans="1:16">
      <c r="A268">
        <v>100574</v>
      </c>
      <c r="B268" s="4">
        <v>45329</v>
      </c>
      <c r="C268" t="s">
        <v>863</v>
      </c>
      <c r="D268" t="s">
        <v>42</v>
      </c>
      <c r="E268" t="s">
        <v>25</v>
      </c>
      <c r="F268" t="s">
        <v>1237</v>
      </c>
      <c r="G268" t="s">
        <v>18</v>
      </c>
      <c r="H268">
        <v>2</v>
      </c>
      <c r="I268">
        <v>169.92</v>
      </c>
      <c r="J268">
        <v>10</v>
      </c>
      <c r="K268">
        <v>305.86</v>
      </c>
      <c r="L268">
        <v>100.22</v>
      </c>
      <c r="M268">
        <v>200.44</v>
      </c>
      <c r="N268">
        <v>39</v>
      </c>
      <c r="O268" t="s">
        <v>26</v>
      </c>
      <c r="P268" t="s">
        <v>20</v>
      </c>
    </row>
    <row r="269" spans="1:16">
      <c r="A269">
        <v>101062</v>
      </c>
      <c r="B269" s="4">
        <v>45100</v>
      </c>
      <c r="C269" t="s">
        <v>862</v>
      </c>
      <c r="D269" t="s">
        <v>87</v>
      </c>
      <c r="E269" t="s">
        <v>25</v>
      </c>
      <c r="F269" t="s">
        <v>1240</v>
      </c>
      <c r="G269" t="s">
        <v>18</v>
      </c>
      <c r="H269">
        <v>5</v>
      </c>
      <c r="I269">
        <v>77.63</v>
      </c>
      <c r="J269">
        <v>20</v>
      </c>
      <c r="K269">
        <v>310.52</v>
      </c>
      <c r="L269">
        <v>95.06</v>
      </c>
      <c r="M269">
        <v>475.3</v>
      </c>
      <c r="N269">
        <v>21</v>
      </c>
      <c r="O269" t="s">
        <v>26</v>
      </c>
      <c r="P269" t="s">
        <v>43</v>
      </c>
    </row>
    <row r="270" spans="1:16">
      <c r="A270">
        <v>100691</v>
      </c>
      <c r="B270" s="4">
        <v>45173</v>
      </c>
      <c r="C270" t="s">
        <v>855</v>
      </c>
      <c r="D270" t="s">
        <v>24</v>
      </c>
      <c r="E270" t="s">
        <v>25</v>
      </c>
      <c r="F270" t="s">
        <v>1241</v>
      </c>
      <c r="G270" t="s">
        <v>31</v>
      </c>
      <c r="H270">
        <v>2</v>
      </c>
      <c r="I270">
        <v>105.28</v>
      </c>
      <c r="J270">
        <v>0</v>
      </c>
      <c r="K270">
        <v>210.56</v>
      </c>
      <c r="L270">
        <v>67.63</v>
      </c>
      <c r="M270">
        <v>135.26</v>
      </c>
      <c r="N270">
        <v>30</v>
      </c>
      <c r="O270" t="s">
        <v>19</v>
      </c>
      <c r="P270" t="s">
        <v>35</v>
      </c>
    </row>
    <row r="271" spans="1:16">
      <c r="A271">
        <v>100846</v>
      </c>
      <c r="B271" s="4">
        <v>45638</v>
      </c>
      <c r="C271" t="s">
        <v>854</v>
      </c>
      <c r="D271" t="s">
        <v>73</v>
      </c>
      <c r="E271" t="s">
        <v>25</v>
      </c>
      <c r="F271" t="s">
        <v>1241</v>
      </c>
      <c r="G271" t="s">
        <v>18</v>
      </c>
      <c r="H271">
        <v>2</v>
      </c>
      <c r="I271">
        <v>32.4</v>
      </c>
      <c r="J271">
        <v>5</v>
      </c>
      <c r="K271">
        <v>61.56</v>
      </c>
      <c r="L271">
        <v>16.649999999999999</v>
      </c>
      <c r="M271">
        <v>33.299999999999997</v>
      </c>
      <c r="N271">
        <v>40</v>
      </c>
      <c r="O271" t="s">
        <v>19</v>
      </c>
      <c r="P271" t="s">
        <v>27</v>
      </c>
    </row>
    <row r="272" spans="1:16">
      <c r="A272">
        <v>100971</v>
      </c>
      <c r="B272" s="4">
        <v>44953</v>
      </c>
      <c r="C272" t="s">
        <v>852</v>
      </c>
      <c r="D272" t="s">
        <v>100</v>
      </c>
      <c r="E272" t="s">
        <v>25</v>
      </c>
      <c r="F272" t="s">
        <v>1238</v>
      </c>
      <c r="G272" t="s">
        <v>64</v>
      </c>
      <c r="H272">
        <v>3</v>
      </c>
      <c r="I272">
        <v>125.36</v>
      </c>
      <c r="J272">
        <v>10</v>
      </c>
      <c r="K272">
        <v>338.47</v>
      </c>
      <c r="L272">
        <v>118.32</v>
      </c>
      <c r="M272">
        <v>354.96</v>
      </c>
      <c r="N272">
        <v>31</v>
      </c>
      <c r="O272" t="s">
        <v>19</v>
      </c>
      <c r="P272" t="s">
        <v>51</v>
      </c>
    </row>
    <row r="273" spans="1:16">
      <c r="A273">
        <v>100443</v>
      </c>
      <c r="B273" s="4">
        <v>45313</v>
      </c>
      <c r="C273" t="s">
        <v>851</v>
      </c>
      <c r="D273" t="s">
        <v>70</v>
      </c>
      <c r="E273" t="s">
        <v>25</v>
      </c>
      <c r="F273" t="s">
        <v>1237</v>
      </c>
      <c r="G273" t="s">
        <v>18</v>
      </c>
      <c r="H273">
        <v>3</v>
      </c>
      <c r="I273">
        <v>131.82</v>
      </c>
      <c r="J273">
        <v>5</v>
      </c>
      <c r="K273">
        <v>375.69</v>
      </c>
      <c r="L273">
        <v>102.64</v>
      </c>
      <c r="M273">
        <v>307.92</v>
      </c>
      <c r="N273">
        <v>16</v>
      </c>
      <c r="O273" t="s">
        <v>19</v>
      </c>
      <c r="P273" t="s">
        <v>20</v>
      </c>
    </row>
    <row r="274" spans="1:16">
      <c r="A274">
        <v>100634</v>
      </c>
      <c r="B274" s="4">
        <v>45813</v>
      </c>
      <c r="C274" t="s">
        <v>325</v>
      </c>
      <c r="D274" t="s">
        <v>39</v>
      </c>
      <c r="E274" t="s">
        <v>25</v>
      </c>
      <c r="F274" t="s">
        <v>1237</v>
      </c>
      <c r="G274" t="s">
        <v>18</v>
      </c>
      <c r="H274">
        <v>1</v>
      </c>
      <c r="I274">
        <v>208.4</v>
      </c>
      <c r="J274">
        <v>20</v>
      </c>
      <c r="K274">
        <v>166.72</v>
      </c>
      <c r="L274">
        <v>38.46</v>
      </c>
      <c r="M274">
        <v>38.46</v>
      </c>
      <c r="N274">
        <v>39</v>
      </c>
      <c r="O274" t="s">
        <v>26</v>
      </c>
      <c r="P274" t="s">
        <v>32</v>
      </c>
    </row>
    <row r="275" spans="1:16">
      <c r="A275">
        <v>101092</v>
      </c>
      <c r="B275" s="4">
        <v>45889</v>
      </c>
      <c r="C275" t="s">
        <v>850</v>
      </c>
      <c r="D275" t="s">
        <v>87</v>
      </c>
      <c r="E275" t="s">
        <v>25</v>
      </c>
      <c r="F275" t="s">
        <v>1238</v>
      </c>
      <c r="G275" t="s">
        <v>18</v>
      </c>
      <c r="H275">
        <v>1</v>
      </c>
      <c r="I275">
        <v>73</v>
      </c>
      <c r="J275">
        <v>0</v>
      </c>
      <c r="K275">
        <v>73</v>
      </c>
      <c r="L275">
        <v>22.96</v>
      </c>
      <c r="M275">
        <v>22.96</v>
      </c>
      <c r="N275">
        <v>21</v>
      </c>
      <c r="O275" t="s">
        <v>26</v>
      </c>
      <c r="P275" t="s">
        <v>32</v>
      </c>
    </row>
    <row r="276" spans="1:16">
      <c r="A276">
        <v>100004</v>
      </c>
      <c r="B276" s="4">
        <v>45476</v>
      </c>
      <c r="C276" t="s">
        <v>845</v>
      </c>
      <c r="D276" t="s">
        <v>87</v>
      </c>
      <c r="E276" t="s">
        <v>25</v>
      </c>
      <c r="F276" t="s">
        <v>1238</v>
      </c>
      <c r="G276" t="s">
        <v>31</v>
      </c>
      <c r="H276">
        <v>2</v>
      </c>
      <c r="I276">
        <v>85.46</v>
      </c>
      <c r="J276">
        <v>0</v>
      </c>
      <c r="K276">
        <v>170.92</v>
      </c>
      <c r="L276">
        <v>39.1</v>
      </c>
      <c r="M276">
        <v>78.2</v>
      </c>
      <c r="N276">
        <v>20</v>
      </c>
      <c r="O276" t="s">
        <v>19</v>
      </c>
      <c r="P276" t="s">
        <v>43</v>
      </c>
    </row>
    <row r="277" spans="1:16">
      <c r="A277">
        <v>100039</v>
      </c>
      <c r="B277" s="4">
        <v>45200</v>
      </c>
      <c r="C277" t="s">
        <v>328</v>
      </c>
      <c r="D277" t="s">
        <v>42</v>
      </c>
      <c r="E277" t="s">
        <v>25</v>
      </c>
      <c r="F277" t="s">
        <v>1241</v>
      </c>
      <c r="G277" t="s">
        <v>48</v>
      </c>
      <c r="H277">
        <v>3</v>
      </c>
      <c r="I277">
        <v>168.34</v>
      </c>
      <c r="J277">
        <v>0</v>
      </c>
      <c r="K277">
        <v>505.02</v>
      </c>
      <c r="L277">
        <v>155.66999999999999</v>
      </c>
      <c r="M277">
        <v>467.01</v>
      </c>
      <c r="N277">
        <v>23</v>
      </c>
      <c r="O277" t="s">
        <v>19</v>
      </c>
      <c r="P277" t="s">
        <v>51</v>
      </c>
    </row>
    <row r="278" spans="1:16">
      <c r="A278">
        <v>100030</v>
      </c>
      <c r="B278" s="4">
        <v>45332</v>
      </c>
      <c r="C278" t="s">
        <v>329</v>
      </c>
      <c r="D278" t="s">
        <v>68</v>
      </c>
      <c r="E278" t="s">
        <v>25</v>
      </c>
      <c r="F278" t="s">
        <v>1241</v>
      </c>
      <c r="G278" t="s">
        <v>18</v>
      </c>
      <c r="H278">
        <v>3</v>
      </c>
      <c r="I278">
        <v>252.84</v>
      </c>
      <c r="J278">
        <v>0</v>
      </c>
      <c r="K278">
        <v>758.52</v>
      </c>
      <c r="L278">
        <v>245.53</v>
      </c>
      <c r="M278">
        <v>736.59</v>
      </c>
      <c r="N278">
        <v>23</v>
      </c>
      <c r="O278" t="s">
        <v>19</v>
      </c>
      <c r="P278" t="s">
        <v>27</v>
      </c>
    </row>
    <row r="279" spans="1:16">
      <c r="A279">
        <v>100242</v>
      </c>
      <c r="B279" s="4">
        <v>45208</v>
      </c>
      <c r="C279" t="s">
        <v>330</v>
      </c>
      <c r="D279" t="s">
        <v>70</v>
      </c>
      <c r="E279" t="s">
        <v>25</v>
      </c>
      <c r="F279" t="s">
        <v>1237</v>
      </c>
      <c r="G279" t="s">
        <v>31</v>
      </c>
      <c r="H279">
        <v>3</v>
      </c>
      <c r="I279">
        <v>164.56</v>
      </c>
      <c r="J279">
        <v>0</v>
      </c>
      <c r="K279">
        <v>493.68</v>
      </c>
      <c r="L279">
        <v>151.6</v>
      </c>
      <c r="M279">
        <v>454.79999999999995</v>
      </c>
      <c r="N279">
        <v>25</v>
      </c>
      <c r="O279" t="s">
        <v>26</v>
      </c>
      <c r="P279" t="s">
        <v>32</v>
      </c>
    </row>
    <row r="280" spans="1:16">
      <c r="A280">
        <v>100428</v>
      </c>
      <c r="B280" s="4">
        <v>45645</v>
      </c>
      <c r="C280" t="s">
        <v>331</v>
      </c>
      <c r="D280" t="s">
        <v>87</v>
      </c>
      <c r="E280" t="s">
        <v>25</v>
      </c>
      <c r="F280" t="s">
        <v>1241</v>
      </c>
      <c r="G280" t="s">
        <v>18</v>
      </c>
      <c r="H280">
        <v>3</v>
      </c>
      <c r="I280">
        <v>80.41</v>
      </c>
      <c r="J280">
        <v>10</v>
      </c>
      <c r="K280">
        <v>217.11</v>
      </c>
      <c r="L280">
        <v>65.5</v>
      </c>
      <c r="M280">
        <v>196.5</v>
      </c>
      <c r="N280">
        <v>21</v>
      </c>
      <c r="O280" t="s">
        <v>19</v>
      </c>
      <c r="P280" t="s">
        <v>32</v>
      </c>
    </row>
    <row r="281" spans="1:16">
      <c r="A281">
        <v>100136</v>
      </c>
      <c r="B281" s="4">
        <v>45072</v>
      </c>
      <c r="C281" t="s">
        <v>332</v>
      </c>
      <c r="D281" t="s">
        <v>39</v>
      </c>
      <c r="E281" t="s">
        <v>25</v>
      </c>
      <c r="F281" t="s">
        <v>1238</v>
      </c>
      <c r="G281" t="s">
        <v>18</v>
      </c>
      <c r="H281">
        <v>2</v>
      </c>
      <c r="I281">
        <v>181.64</v>
      </c>
      <c r="J281">
        <v>10</v>
      </c>
      <c r="K281">
        <v>326.95</v>
      </c>
      <c r="L281">
        <v>100.54</v>
      </c>
      <c r="M281">
        <v>201.08</v>
      </c>
      <c r="N281">
        <v>32</v>
      </c>
      <c r="O281" t="s">
        <v>26</v>
      </c>
      <c r="P281" t="s">
        <v>35</v>
      </c>
    </row>
    <row r="282" spans="1:16">
      <c r="A282">
        <v>101100</v>
      </c>
      <c r="B282" s="4">
        <v>45185</v>
      </c>
      <c r="C282" t="s">
        <v>147</v>
      </c>
      <c r="D282" t="s">
        <v>42</v>
      </c>
      <c r="E282" t="s">
        <v>25</v>
      </c>
      <c r="F282" t="s">
        <v>1241</v>
      </c>
      <c r="G282" t="s">
        <v>18</v>
      </c>
      <c r="H282">
        <v>1</v>
      </c>
      <c r="I282">
        <v>150.4</v>
      </c>
      <c r="J282">
        <v>10</v>
      </c>
      <c r="K282">
        <v>135.36000000000001</v>
      </c>
      <c r="L282">
        <v>34.33</v>
      </c>
      <c r="M282">
        <v>34.33</v>
      </c>
      <c r="N282">
        <v>24</v>
      </c>
      <c r="O282" t="s">
        <v>26</v>
      </c>
      <c r="P282" t="s">
        <v>46</v>
      </c>
    </row>
    <row r="283" spans="1:16">
      <c r="A283">
        <v>100102</v>
      </c>
      <c r="B283" s="4">
        <v>45705</v>
      </c>
      <c r="C283" t="s">
        <v>844</v>
      </c>
      <c r="D283" t="s">
        <v>87</v>
      </c>
      <c r="E283" t="s">
        <v>25</v>
      </c>
      <c r="F283" t="s">
        <v>1237</v>
      </c>
      <c r="G283" t="s">
        <v>48</v>
      </c>
      <c r="H283">
        <v>2</v>
      </c>
      <c r="I283">
        <v>79.81</v>
      </c>
      <c r="J283">
        <v>5</v>
      </c>
      <c r="K283">
        <v>151.63999999999999</v>
      </c>
      <c r="L283">
        <v>31.81</v>
      </c>
      <c r="M283">
        <v>63.62</v>
      </c>
      <c r="N283">
        <v>32</v>
      </c>
      <c r="O283" t="s">
        <v>26</v>
      </c>
      <c r="P283" t="s">
        <v>81</v>
      </c>
    </row>
    <row r="284" spans="1:16">
      <c r="A284">
        <v>100655</v>
      </c>
      <c r="B284" s="4">
        <v>45900</v>
      </c>
      <c r="C284" t="s">
        <v>839</v>
      </c>
      <c r="D284" t="s">
        <v>100</v>
      </c>
      <c r="E284" t="s">
        <v>25</v>
      </c>
      <c r="F284" t="s">
        <v>1237</v>
      </c>
      <c r="G284" t="s">
        <v>18</v>
      </c>
      <c r="H284">
        <v>6</v>
      </c>
      <c r="I284">
        <v>116.35</v>
      </c>
      <c r="J284">
        <v>0</v>
      </c>
      <c r="K284">
        <v>698.1</v>
      </c>
      <c r="L284">
        <v>156.12</v>
      </c>
      <c r="M284">
        <v>936.72</v>
      </c>
      <c r="N284">
        <v>16</v>
      </c>
      <c r="O284" t="s">
        <v>19</v>
      </c>
      <c r="P284" t="s">
        <v>35</v>
      </c>
    </row>
    <row r="285" spans="1:16">
      <c r="A285">
        <v>100832</v>
      </c>
      <c r="B285" s="4">
        <v>45076</v>
      </c>
      <c r="C285" t="s">
        <v>335</v>
      </c>
      <c r="D285" t="s">
        <v>39</v>
      </c>
      <c r="E285" t="s">
        <v>25</v>
      </c>
      <c r="F285" t="s">
        <v>1238</v>
      </c>
      <c r="G285" t="s">
        <v>18</v>
      </c>
      <c r="H285">
        <v>3</v>
      </c>
      <c r="I285">
        <v>176.94</v>
      </c>
      <c r="J285">
        <v>0</v>
      </c>
      <c r="K285">
        <v>530.82000000000005</v>
      </c>
      <c r="L285">
        <v>190.54</v>
      </c>
      <c r="M285">
        <v>571.62</v>
      </c>
      <c r="N285">
        <v>33</v>
      </c>
      <c r="O285" t="s">
        <v>26</v>
      </c>
      <c r="P285" t="s">
        <v>32</v>
      </c>
    </row>
    <row r="286" spans="1:16">
      <c r="A286">
        <v>100105</v>
      </c>
      <c r="B286" s="4">
        <v>45188</v>
      </c>
      <c r="C286" t="s">
        <v>835</v>
      </c>
      <c r="D286" t="s">
        <v>39</v>
      </c>
      <c r="E286" t="s">
        <v>25</v>
      </c>
      <c r="F286" t="s">
        <v>1238</v>
      </c>
      <c r="G286" t="s">
        <v>18</v>
      </c>
      <c r="H286">
        <v>3</v>
      </c>
      <c r="I286">
        <v>171.69</v>
      </c>
      <c r="J286">
        <v>0</v>
      </c>
      <c r="K286">
        <v>515.07000000000005</v>
      </c>
      <c r="L286">
        <v>135.88999999999999</v>
      </c>
      <c r="M286">
        <v>407.66999999999996</v>
      </c>
      <c r="N286">
        <v>49</v>
      </c>
      <c r="O286" t="s">
        <v>26</v>
      </c>
      <c r="P286" t="s">
        <v>27</v>
      </c>
    </row>
    <row r="287" spans="1:16">
      <c r="A287">
        <v>100921</v>
      </c>
      <c r="B287" s="4">
        <v>45325</v>
      </c>
      <c r="C287" t="s">
        <v>834</v>
      </c>
      <c r="D287" t="s">
        <v>73</v>
      </c>
      <c r="E287" t="s">
        <v>25</v>
      </c>
      <c r="F287" t="s">
        <v>1241</v>
      </c>
      <c r="G287" t="s">
        <v>18</v>
      </c>
      <c r="H287">
        <v>3</v>
      </c>
      <c r="I287">
        <v>29.79</v>
      </c>
      <c r="J287">
        <v>10</v>
      </c>
      <c r="K287">
        <v>80.430000000000007</v>
      </c>
      <c r="L287">
        <v>28.4</v>
      </c>
      <c r="M287">
        <v>85.199999999999989</v>
      </c>
      <c r="N287">
        <v>26</v>
      </c>
      <c r="O287" t="s">
        <v>19</v>
      </c>
      <c r="P287" t="s">
        <v>46</v>
      </c>
    </row>
    <row r="288" spans="1:16">
      <c r="A288">
        <v>100902</v>
      </c>
      <c r="B288" s="4">
        <v>45820</v>
      </c>
      <c r="C288" t="s">
        <v>833</v>
      </c>
      <c r="D288" t="s">
        <v>68</v>
      </c>
      <c r="E288" t="s">
        <v>25</v>
      </c>
      <c r="F288" t="s">
        <v>1240</v>
      </c>
      <c r="G288" t="s">
        <v>48</v>
      </c>
      <c r="H288">
        <v>3</v>
      </c>
      <c r="I288">
        <v>221.49</v>
      </c>
      <c r="J288">
        <v>0</v>
      </c>
      <c r="K288">
        <v>664.47</v>
      </c>
      <c r="L288">
        <v>225.85</v>
      </c>
      <c r="M288">
        <v>677.55</v>
      </c>
      <c r="N288">
        <v>26</v>
      </c>
      <c r="O288" t="s">
        <v>26</v>
      </c>
      <c r="P288" t="s">
        <v>27</v>
      </c>
    </row>
    <row r="289" spans="1:16">
      <c r="A289">
        <v>100843</v>
      </c>
      <c r="B289" s="4">
        <v>45010</v>
      </c>
      <c r="C289" t="s">
        <v>339</v>
      </c>
      <c r="D289" t="s">
        <v>24</v>
      </c>
      <c r="E289" t="s">
        <v>25</v>
      </c>
      <c r="F289" t="s">
        <v>1239</v>
      </c>
      <c r="G289" t="s">
        <v>31</v>
      </c>
      <c r="H289">
        <v>2</v>
      </c>
      <c r="I289">
        <v>94.66</v>
      </c>
      <c r="J289">
        <v>10</v>
      </c>
      <c r="K289">
        <v>170.39</v>
      </c>
      <c r="L289">
        <v>58.52</v>
      </c>
      <c r="M289">
        <v>117.04</v>
      </c>
      <c r="N289">
        <v>16</v>
      </c>
      <c r="O289" t="s">
        <v>26</v>
      </c>
      <c r="P289" t="s">
        <v>43</v>
      </c>
    </row>
    <row r="290" spans="1:16">
      <c r="A290">
        <v>100656</v>
      </c>
      <c r="B290" s="4">
        <v>45844</v>
      </c>
      <c r="C290" t="s">
        <v>832</v>
      </c>
      <c r="D290" t="s">
        <v>87</v>
      </c>
      <c r="E290" t="s">
        <v>25</v>
      </c>
      <c r="F290" t="s">
        <v>1241</v>
      </c>
      <c r="G290" t="s">
        <v>31</v>
      </c>
      <c r="H290">
        <v>5</v>
      </c>
      <c r="I290">
        <v>80.94</v>
      </c>
      <c r="J290">
        <v>0</v>
      </c>
      <c r="K290">
        <v>404.7</v>
      </c>
      <c r="L290">
        <v>143.22</v>
      </c>
      <c r="M290">
        <v>716.1</v>
      </c>
      <c r="N290">
        <v>23</v>
      </c>
      <c r="O290" t="s">
        <v>19</v>
      </c>
      <c r="P290" t="s">
        <v>46</v>
      </c>
    </row>
    <row r="291" spans="1:16">
      <c r="A291">
        <v>100970</v>
      </c>
      <c r="B291" s="4">
        <v>45314</v>
      </c>
      <c r="C291" t="s">
        <v>831</v>
      </c>
      <c r="D291" t="s">
        <v>100</v>
      </c>
      <c r="E291" t="s">
        <v>25</v>
      </c>
      <c r="F291" t="s">
        <v>1238</v>
      </c>
      <c r="G291" t="s">
        <v>18</v>
      </c>
      <c r="H291">
        <v>2</v>
      </c>
      <c r="I291">
        <v>116.46</v>
      </c>
      <c r="J291">
        <v>10</v>
      </c>
      <c r="K291">
        <v>209.63</v>
      </c>
      <c r="L291">
        <v>43.47</v>
      </c>
      <c r="M291">
        <v>86.94</v>
      </c>
      <c r="N291">
        <v>31</v>
      </c>
      <c r="O291" t="s">
        <v>26</v>
      </c>
      <c r="P291" t="s">
        <v>46</v>
      </c>
    </row>
    <row r="292" spans="1:16">
      <c r="A292">
        <v>100442</v>
      </c>
      <c r="B292" s="4">
        <v>45721</v>
      </c>
      <c r="C292" t="s">
        <v>342</v>
      </c>
      <c r="D292" t="s">
        <v>73</v>
      </c>
      <c r="E292" t="s">
        <v>25</v>
      </c>
      <c r="F292" t="s">
        <v>1241</v>
      </c>
      <c r="G292" t="s">
        <v>31</v>
      </c>
      <c r="H292">
        <v>2</v>
      </c>
      <c r="I292">
        <v>35.200000000000003</v>
      </c>
      <c r="J292">
        <v>5</v>
      </c>
      <c r="K292">
        <v>66.88</v>
      </c>
      <c r="L292">
        <v>17.920000000000002</v>
      </c>
      <c r="M292">
        <v>35.840000000000003</v>
      </c>
      <c r="N292">
        <v>39</v>
      </c>
      <c r="O292" t="s">
        <v>26</v>
      </c>
      <c r="P292" t="s">
        <v>35</v>
      </c>
    </row>
    <row r="293" spans="1:16">
      <c r="A293">
        <v>100603</v>
      </c>
      <c r="B293" s="4">
        <v>45431</v>
      </c>
      <c r="C293" t="s">
        <v>829</v>
      </c>
      <c r="D293" t="s">
        <v>42</v>
      </c>
      <c r="E293" t="s">
        <v>25</v>
      </c>
      <c r="F293" t="s">
        <v>1241</v>
      </c>
      <c r="G293" t="s">
        <v>18</v>
      </c>
      <c r="H293">
        <v>3</v>
      </c>
      <c r="I293">
        <v>169.7</v>
      </c>
      <c r="J293">
        <v>0</v>
      </c>
      <c r="K293">
        <v>509.1</v>
      </c>
      <c r="L293">
        <v>180.04</v>
      </c>
      <c r="M293">
        <v>540.12</v>
      </c>
      <c r="N293">
        <v>32</v>
      </c>
      <c r="O293" t="s">
        <v>26</v>
      </c>
      <c r="P293" t="s">
        <v>27</v>
      </c>
    </row>
    <row r="294" spans="1:16">
      <c r="A294">
        <v>100435</v>
      </c>
      <c r="B294" s="4">
        <v>45141</v>
      </c>
      <c r="C294" t="s">
        <v>344</v>
      </c>
      <c r="D294" t="s">
        <v>100</v>
      </c>
      <c r="E294" t="s">
        <v>25</v>
      </c>
      <c r="F294" t="s">
        <v>1237</v>
      </c>
      <c r="G294" t="s">
        <v>64</v>
      </c>
      <c r="H294">
        <v>6</v>
      </c>
      <c r="I294">
        <v>162.34</v>
      </c>
      <c r="J294">
        <v>0</v>
      </c>
      <c r="K294">
        <v>974.04</v>
      </c>
      <c r="L294">
        <v>303.42</v>
      </c>
      <c r="M294">
        <v>1820.52</v>
      </c>
      <c r="N294">
        <v>33</v>
      </c>
      <c r="O294" t="s">
        <v>26</v>
      </c>
      <c r="P294" t="s">
        <v>35</v>
      </c>
    </row>
    <row r="295" spans="1:16">
      <c r="A295">
        <v>100992</v>
      </c>
      <c r="B295" s="4">
        <v>45679</v>
      </c>
      <c r="C295" t="s">
        <v>827</v>
      </c>
      <c r="D295" t="s">
        <v>39</v>
      </c>
      <c r="E295" t="s">
        <v>25</v>
      </c>
      <c r="F295" t="s">
        <v>1239</v>
      </c>
      <c r="G295" t="s">
        <v>18</v>
      </c>
      <c r="H295">
        <v>2</v>
      </c>
      <c r="I295">
        <v>184.09</v>
      </c>
      <c r="J295">
        <v>5</v>
      </c>
      <c r="K295">
        <v>349.77</v>
      </c>
      <c r="L295">
        <v>109.44</v>
      </c>
      <c r="M295">
        <v>218.88</v>
      </c>
      <c r="N295">
        <v>17</v>
      </c>
      <c r="O295" t="s">
        <v>19</v>
      </c>
      <c r="P295" t="s">
        <v>35</v>
      </c>
    </row>
    <row r="296" spans="1:16">
      <c r="A296">
        <v>100100</v>
      </c>
      <c r="B296" s="4">
        <v>45592</v>
      </c>
      <c r="C296" t="s">
        <v>346</v>
      </c>
      <c r="D296" t="s">
        <v>24</v>
      </c>
      <c r="E296" t="s">
        <v>25</v>
      </c>
      <c r="F296" t="s">
        <v>1239</v>
      </c>
      <c r="G296" t="s">
        <v>48</v>
      </c>
      <c r="H296">
        <v>4</v>
      </c>
      <c r="I296">
        <v>97.97</v>
      </c>
      <c r="J296">
        <v>0</v>
      </c>
      <c r="K296">
        <v>391.88</v>
      </c>
      <c r="L296">
        <v>115.9</v>
      </c>
      <c r="M296">
        <v>463.6</v>
      </c>
      <c r="N296">
        <v>34</v>
      </c>
      <c r="O296" t="s">
        <v>26</v>
      </c>
      <c r="P296" t="s">
        <v>43</v>
      </c>
    </row>
    <row r="297" spans="1:16">
      <c r="A297">
        <v>100473</v>
      </c>
      <c r="B297" s="4">
        <v>45162</v>
      </c>
      <c r="C297" t="s">
        <v>825</v>
      </c>
      <c r="D297" t="s">
        <v>24</v>
      </c>
      <c r="E297" t="s">
        <v>25</v>
      </c>
      <c r="F297" t="s">
        <v>1241</v>
      </c>
      <c r="G297" t="s">
        <v>18</v>
      </c>
      <c r="H297">
        <v>6</v>
      </c>
      <c r="I297">
        <v>101.44</v>
      </c>
      <c r="J297">
        <v>0</v>
      </c>
      <c r="K297">
        <v>608.64</v>
      </c>
      <c r="L297">
        <v>152.53</v>
      </c>
      <c r="M297">
        <v>915.18000000000006</v>
      </c>
      <c r="N297">
        <v>34</v>
      </c>
      <c r="O297" t="s">
        <v>26</v>
      </c>
      <c r="P297" t="s">
        <v>27</v>
      </c>
    </row>
    <row r="298" spans="1:16">
      <c r="A298">
        <v>100494</v>
      </c>
      <c r="B298" s="4">
        <v>45681</v>
      </c>
      <c r="C298" t="s">
        <v>348</v>
      </c>
      <c r="D298" t="s">
        <v>24</v>
      </c>
      <c r="E298" t="s">
        <v>25</v>
      </c>
      <c r="F298" t="s">
        <v>1238</v>
      </c>
      <c r="G298" t="s">
        <v>31</v>
      </c>
      <c r="H298">
        <v>2</v>
      </c>
      <c r="I298">
        <v>87.49</v>
      </c>
      <c r="J298">
        <v>0</v>
      </c>
      <c r="K298">
        <v>174.98</v>
      </c>
      <c r="L298">
        <v>60.66</v>
      </c>
      <c r="M298">
        <v>121.32</v>
      </c>
      <c r="N298">
        <v>23</v>
      </c>
      <c r="O298" t="s">
        <v>19</v>
      </c>
      <c r="P298" t="s">
        <v>43</v>
      </c>
    </row>
    <row r="299" spans="1:16">
      <c r="A299">
        <v>100512</v>
      </c>
      <c r="B299" s="4">
        <v>45786</v>
      </c>
      <c r="C299" t="s">
        <v>240</v>
      </c>
      <c r="D299" t="s">
        <v>87</v>
      </c>
      <c r="E299" t="s">
        <v>25</v>
      </c>
      <c r="F299" t="s">
        <v>1238</v>
      </c>
      <c r="G299" t="s">
        <v>18</v>
      </c>
      <c r="H299">
        <v>1</v>
      </c>
      <c r="I299">
        <v>82.72</v>
      </c>
      <c r="J299">
        <v>5</v>
      </c>
      <c r="K299">
        <v>78.58</v>
      </c>
      <c r="L299">
        <v>24.92</v>
      </c>
      <c r="M299">
        <v>24.92</v>
      </c>
      <c r="N299">
        <v>34</v>
      </c>
      <c r="O299" t="s">
        <v>19</v>
      </c>
      <c r="P299" t="s">
        <v>20</v>
      </c>
    </row>
    <row r="300" spans="1:16">
      <c r="A300">
        <v>100750</v>
      </c>
      <c r="B300" s="4">
        <v>45255</v>
      </c>
      <c r="C300" t="s">
        <v>818</v>
      </c>
      <c r="D300" t="s">
        <v>70</v>
      </c>
      <c r="E300" t="s">
        <v>25</v>
      </c>
      <c r="F300" t="s">
        <v>1241</v>
      </c>
      <c r="G300" t="s">
        <v>48</v>
      </c>
      <c r="H300">
        <v>1</v>
      </c>
      <c r="I300">
        <v>168.9</v>
      </c>
      <c r="J300">
        <v>10</v>
      </c>
      <c r="K300">
        <v>152.01</v>
      </c>
      <c r="L300">
        <v>45.82</v>
      </c>
      <c r="M300">
        <v>45.82</v>
      </c>
      <c r="N300">
        <v>22</v>
      </c>
      <c r="O300" t="s">
        <v>26</v>
      </c>
      <c r="P300" t="s">
        <v>81</v>
      </c>
    </row>
    <row r="301" spans="1:16">
      <c r="A301">
        <v>101127</v>
      </c>
      <c r="B301" s="4">
        <v>45044</v>
      </c>
      <c r="C301" t="s">
        <v>817</v>
      </c>
      <c r="D301" t="s">
        <v>73</v>
      </c>
      <c r="E301" t="s">
        <v>25</v>
      </c>
      <c r="F301" t="s">
        <v>1241</v>
      </c>
      <c r="G301" t="s">
        <v>18</v>
      </c>
      <c r="H301">
        <v>6</v>
      </c>
      <c r="I301">
        <v>40.479999999999997</v>
      </c>
      <c r="J301">
        <v>10</v>
      </c>
      <c r="K301">
        <v>218.59</v>
      </c>
      <c r="L301">
        <v>47.7</v>
      </c>
      <c r="M301">
        <v>286.20000000000005</v>
      </c>
      <c r="N301">
        <v>37</v>
      </c>
      <c r="O301" t="s">
        <v>19</v>
      </c>
      <c r="P301" t="s">
        <v>35</v>
      </c>
    </row>
    <row r="302" spans="1:16">
      <c r="A302">
        <v>100637</v>
      </c>
      <c r="B302" s="4">
        <v>45013</v>
      </c>
      <c r="C302" t="s">
        <v>816</v>
      </c>
      <c r="D302" t="s">
        <v>68</v>
      </c>
      <c r="E302" t="s">
        <v>25</v>
      </c>
      <c r="F302" t="s">
        <v>1238</v>
      </c>
      <c r="G302" t="s">
        <v>31</v>
      </c>
      <c r="H302">
        <v>1</v>
      </c>
      <c r="I302">
        <v>205.68</v>
      </c>
      <c r="J302">
        <v>0</v>
      </c>
      <c r="K302">
        <v>205.68</v>
      </c>
      <c r="L302">
        <v>66.19</v>
      </c>
      <c r="M302">
        <v>66.19</v>
      </c>
      <c r="N302">
        <v>16</v>
      </c>
      <c r="O302" t="s">
        <v>19</v>
      </c>
      <c r="P302" t="s">
        <v>32</v>
      </c>
    </row>
    <row r="303" spans="1:16">
      <c r="A303">
        <v>100986</v>
      </c>
      <c r="B303" s="4">
        <v>45441</v>
      </c>
      <c r="C303" t="s">
        <v>353</v>
      </c>
      <c r="D303" t="s">
        <v>87</v>
      </c>
      <c r="E303" t="s">
        <v>25</v>
      </c>
      <c r="F303" t="s">
        <v>1239</v>
      </c>
      <c r="G303" t="s">
        <v>31</v>
      </c>
      <c r="H303">
        <v>1</v>
      </c>
      <c r="I303">
        <v>80.89</v>
      </c>
      <c r="J303">
        <v>40</v>
      </c>
      <c r="K303">
        <v>48.53</v>
      </c>
      <c r="L303">
        <v>16.34</v>
      </c>
      <c r="M303">
        <v>16.34</v>
      </c>
      <c r="N303">
        <v>19</v>
      </c>
      <c r="O303" t="s">
        <v>19</v>
      </c>
      <c r="P303" t="s">
        <v>51</v>
      </c>
    </row>
    <row r="304" spans="1:16">
      <c r="A304">
        <v>100227</v>
      </c>
      <c r="B304" s="4">
        <v>45241</v>
      </c>
      <c r="C304" t="s">
        <v>354</v>
      </c>
      <c r="D304" t="s">
        <v>42</v>
      </c>
      <c r="E304" t="s">
        <v>25</v>
      </c>
      <c r="F304" t="s">
        <v>1238</v>
      </c>
      <c r="G304" t="s">
        <v>48</v>
      </c>
      <c r="H304">
        <v>5</v>
      </c>
      <c r="I304">
        <v>165.64</v>
      </c>
      <c r="J304">
        <v>5</v>
      </c>
      <c r="K304">
        <v>786.79</v>
      </c>
      <c r="L304">
        <v>254.6</v>
      </c>
      <c r="M304">
        <v>1273</v>
      </c>
      <c r="N304">
        <v>31</v>
      </c>
      <c r="O304" t="s">
        <v>19</v>
      </c>
      <c r="P304" t="s">
        <v>20</v>
      </c>
    </row>
    <row r="305" spans="1:16">
      <c r="A305">
        <v>100188</v>
      </c>
      <c r="B305" s="4">
        <v>45051</v>
      </c>
      <c r="C305" t="s">
        <v>33</v>
      </c>
      <c r="D305" t="s">
        <v>73</v>
      </c>
      <c r="E305" t="s">
        <v>25</v>
      </c>
      <c r="F305" t="s">
        <v>1241</v>
      </c>
      <c r="G305" t="s">
        <v>31</v>
      </c>
      <c r="H305">
        <v>1</v>
      </c>
      <c r="I305">
        <v>36.47</v>
      </c>
      <c r="J305">
        <v>0</v>
      </c>
      <c r="K305">
        <v>36.47</v>
      </c>
      <c r="L305">
        <v>14.19</v>
      </c>
      <c r="M305">
        <v>14.19</v>
      </c>
      <c r="N305">
        <v>31</v>
      </c>
      <c r="O305" t="s">
        <v>26</v>
      </c>
      <c r="P305" t="s">
        <v>43</v>
      </c>
    </row>
    <row r="306" spans="1:16">
      <c r="A306">
        <v>100580</v>
      </c>
      <c r="B306" s="4">
        <v>45786</v>
      </c>
      <c r="C306" t="s">
        <v>807</v>
      </c>
      <c r="D306" t="s">
        <v>68</v>
      </c>
      <c r="E306" t="s">
        <v>25</v>
      </c>
      <c r="F306" t="s">
        <v>1237</v>
      </c>
      <c r="G306" t="s">
        <v>48</v>
      </c>
      <c r="H306">
        <v>2</v>
      </c>
      <c r="I306">
        <v>246.33</v>
      </c>
      <c r="J306">
        <v>0</v>
      </c>
      <c r="K306">
        <v>492.66</v>
      </c>
      <c r="L306">
        <v>136.07</v>
      </c>
      <c r="M306">
        <v>272.14</v>
      </c>
      <c r="N306">
        <v>23</v>
      </c>
      <c r="O306" t="s">
        <v>26</v>
      </c>
      <c r="P306" t="s">
        <v>32</v>
      </c>
    </row>
    <row r="307" spans="1:16">
      <c r="A307">
        <v>101042</v>
      </c>
      <c r="B307" s="4">
        <v>44971</v>
      </c>
      <c r="C307" t="s">
        <v>806</v>
      </c>
      <c r="D307" t="s">
        <v>68</v>
      </c>
      <c r="E307" t="s">
        <v>25</v>
      </c>
      <c r="F307" t="s">
        <v>1237</v>
      </c>
      <c r="G307" t="s">
        <v>18</v>
      </c>
      <c r="H307">
        <v>1</v>
      </c>
      <c r="I307">
        <v>224.81</v>
      </c>
      <c r="J307">
        <v>20</v>
      </c>
      <c r="K307">
        <v>179.85</v>
      </c>
      <c r="L307">
        <v>44.98</v>
      </c>
      <c r="M307">
        <v>44.98</v>
      </c>
      <c r="N307">
        <v>20</v>
      </c>
      <c r="O307" t="s">
        <v>19</v>
      </c>
      <c r="P307" t="s">
        <v>43</v>
      </c>
    </row>
    <row r="308" spans="1:16">
      <c r="A308">
        <v>100924</v>
      </c>
      <c r="B308" s="4">
        <v>45516</v>
      </c>
      <c r="C308" t="s">
        <v>358</v>
      </c>
      <c r="D308" t="s">
        <v>70</v>
      </c>
      <c r="E308" t="s">
        <v>25</v>
      </c>
      <c r="F308" t="s">
        <v>1241</v>
      </c>
      <c r="G308" t="s">
        <v>48</v>
      </c>
      <c r="H308">
        <v>2</v>
      </c>
      <c r="I308">
        <v>149.1</v>
      </c>
      <c r="J308">
        <v>0</v>
      </c>
      <c r="K308">
        <v>298.2</v>
      </c>
      <c r="L308">
        <v>76.67</v>
      </c>
      <c r="M308">
        <v>153.34</v>
      </c>
      <c r="N308">
        <v>29</v>
      </c>
      <c r="O308" t="s">
        <v>26</v>
      </c>
      <c r="P308" t="s">
        <v>20</v>
      </c>
    </row>
    <row r="309" spans="1:16">
      <c r="A309">
        <v>100075</v>
      </c>
      <c r="B309" s="4">
        <v>45029</v>
      </c>
      <c r="C309" t="s">
        <v>805</v>
      </c>
      <c r="D309" t="s">
        <v>73</v>
      </c>
      <c r="E309" t="s">
        <v>25</v>
      </c>
      <c r="F309" t="s">
        <v>1238</v>
      </c>
      <c r="G309" t="s">
        <v>18</v>
      </c>
      <c r="H309">
        <v>3</v>
      </c>
      <c r="I309">
        <v>40.130000000000003</v>
      </c>
      <c r="J309">
        <v>5</v>
      </c>
      <c r="K309">
        <v>114.37</v>
      </c>
      <c r="L309">
        <v>33.89</v>
      </c>
      <c r="M309">
        <v>101.67</v>
      </c>
      <c r="N309">
        <v>27</v>
      </c>
      <c r="O309" t="s">
        <v>19</v>
      </c>
      <c r="P309" t="s">
        <v>35</v>
      </c>
    </row>
    <row r="310" spans="1:16">
      <c r="A310">
        <v>100796</v>
      </c>
      <c r="B310" s="4">
        <v>45353</v>
      </c>
      <c r="C310" t="s">
        <v>803</v>
      </c>
      <c r="D310" t="s">
        <v>24</v>
      </c>
      <c r="E310" t="s">
        <v>25</v>
      </c>
      <c r="F310" t="s">
        <v>1238</v>
      </c>
      <c r="G310" t="s">
        <v>18</v>
      </c>
      <c r="H310">
        <v>3</v>
      </c>
      <c r="I310">
        <v>98.75</v>
      </c>
      <c r="J310">
        <v>20</v>
      </c>
      <c r="K310">
        <v>237</v>
      </c>
      <c r="L310">
        <v>70.42</v>
      </c>
      <c r="M310">
        <v>211.26</v>
      </c>
      <c r="N310">
        <v>38</v>
      </c>
      <c r="O310" t="s">
        <v>26</v>
      </c>
      <c r="P310" t="s">
        <v>20</v>
      </c>
    </row>
    <row r="311" spans="1:16">
      <c r="A311">
        <v>100696</v>
      </c>
      <c r="B311" s="4">
        <v>45560</v>
      </c>
      <c r="C311" t="s">
        <v>800</v>
      </c>
      <c r="D311" t="s">
        <v>70</v>
      </c>
      <c r="E311" t="s">
        <v>25</v>
      </c>
      <c r="F311" t="s">
        <v>1241</v>
      </c>
      <c r="G311" t="s">
        <v>31</v>
      </c>
      <c r="H311">
        <v>5</v>
      </c>
      <c r="I311">
        <v>160.76</v>
      </c>
      <c r="J311">
        <v>5</v>
      </c>
      <c r="K311">
        <v>763.61</v>
      </c>
      <c r="L311">
        <v>165.24</v>
      </c>
      <c r="M311">
        <v>826.2</v>
      </c>
      <c r="N311">
        <v>27</v>
      </c>
      <c r="O311" t="s">
        <v>26</v>
      </c>
      <c r="P311" t="s">
        <v>51</v>
      </c>
    </row>
    <row r="312" spans="1:16">
      <c r="A312">
        <v>100211</v>
      </c>
      <c r="B312" s="4">
        <v>45458</v>
      </c>
      <c r="C312" t="s">
        <v>362</v>
      </c>
      <c r="D312" t="s">
        <v>73</v>
      </c>
      <c r="E312" t="s">
        <v>25</v>
      </c>
      <c r="F312" t="s">
        <v>1240</v>
      </c>
      <c r="G312" t="s">
        <v>31</v>
      </c>
      <c r="H312">
        <v>3</v>
      </c>
      <c r="I312">
        <v>40.36</v>
      </c>
      <c r="J312">
        <v>0</v>
      </c>
      <c r="K312">
        <v>121.08</v>
      </c>
      <c r="L312">
        <v>36.14</v>
      </c>
      <c r="M312">
        <v>108.42</v>
      </c>
      <c r="N312">
        <v>46</v>
      </c>
      <c r="O312" t="s">
        <v>26</v>
      </c>
      <c r="P312" t="s">
        <v>35</v>
      </c>
    </row>
    <row r="313" spans="1:16">
      <c r="A313">
        <v>100284</v>
      </c>
      <c r="B313" s="4">
        <v>45393</v>
      </c>
      <c r="C313" t="s">
        <v>799</v>
      </c>
      <c r="D313" t="s">
        <v>73</v>
      </c>
      <c r="E313" t="s">
        <v>25</v>
      </c>
      <c r="F313" t="s">
        <v>1238</v>
      </c>
      <c r="G313" t="s">
        <v>18</v>
      </c>
      <c r="H313">
        <v>4</v>
      </c>
      <c r="I313">
        <v>33.42</v>
      </c>
      <c r="J313">
        <v>0</v>
      </c>
      <c r="K313">
        <v>133.68</v>
      </c>
      <c r="L313">
        <v>41.34</v>
      </c>
      <c r="M313">
        <v>165.36</v>
      </c>
      <c r="N313">
        <v>38</v>
      </c>
      <c r="O313" t="s">
        <v>19</v>
      </c>
      <c r="P313" t="s">
        <v>46</v>
      </c>
    </row>
    <row r="314" spans="1:16">
      <c r="A314">
        <v>100493</v>
      </c>
      <c r="B314" s="4">
        <v>45926</v>
      </c>
      <c r="C314" t="s">
        <v>364</v>
      </c>
      <c r="D314" t="s">
        <v>42</v>
      </c>
      <c r="E314" t="s">
        <v>25</v>
      </c>
      <c r="F314" t="s">
        <v>1241</v>
      </c>
      <c r="G314" t="s">
        <v>18</v>
      </c>
      <c r="H314">
        <v>5</v>
      </c>
      <c r="I314">
        <v>163.98</v>
      </c>
      <c r="J314">
        <v>10</v>
      </c>
      <c r="K314">
        <v>737.91</v>
      </c>
      <c r="L314">
        <v>217.96</v>
      </c>
      <c r="M314">
        <v>1089.8</v>
      </c>
      <c r="N314">
        <v>20</v>
      </c>
      <c r="O314" t="s">
        <v>19</v>
      </c>
      <c r="P314" t="s">
        <v>32</v>
      </c>
    </row>
    <row r="315" spans="1:16">
      <c r="A315">
        <v>100894</v>
      </c>
      <c r="B315" s="4">
        <v>45404</v>
      </c>
      <c r="C315" t="s">
        <v>798</v>
      </c>
      <c r="D315" t="s">
        <v>100</v>
      </c>
      <c r="E315" t="s">
        <v>25</v>
      </c>
      <c r="F315" t="s">
        <v>1238</v>
      </c>
      <c r="G315" t="s">
        <v>31</v>
      </c>
      <c r="H315">
        <v>4</v>
      </c>
      <c r="I315">
        <v>118.61</v>
      </c>
      <c r="J315">
        <v>20</v>
      </c>
      <c r="K315">
        <v>379.55</v>
      </c>
      <c r="L315">
        <v>53.58</v>
      </c>
      <c r="M315">
        <v>214.32</v>
      </c>
      <c r="N315">
        <v>52</v>
      </c>
      <c r="O315" t="s">
        <v>19</v>
      </c>
      <c r="P315" t="s">
        <v>32</v>
      </c>
    </row>
    <row r="316" spans="1:16">
      <c r="A316">
        <v>100299</v>
      </c>
      <c r="B316" s="4">
        <v>45808</v>
      </c>
      <c r="C316" t="s">
        <v>366</v>
      </c>
      <c r="D316" t="s">
        <v>100</v>
      </c>
      <c r="E316" t="s">
        <v>25</v>
      </c>
      <c r="F316" t="s">
        <v>1241</v>
      </c>
      <c r="G316" t="s">
        <v>18</v>
      </c>
      <c r="H316">
        <v>3</v>
      </c>
      <c r="I316">
        <v>129.63</v>
      </c>
      <c r="J316">
        <v>0</v>
      </c>
      <c r="K316">
        <v>388.89</v>
      </c>
      <c r="L316">
        <v>108.37</v>
      </c>
      <c r="M316">
        <v>325.11</v>
      </c>
      <c r="N316">
        <v>25</v>
      </c>
      <c r="O316" t="s">
        <v>26</v>
      </c>
      <c r="P316" t="s">
        <v>51</v>
      </c>
    </row>
    <row r="317" spans="1:16">
      <c r="A317">
        <v>100410</v>
      </c>
      <c r="B317" s="4">
        <v>45216</v>
      </c>
      <c r="C317" t="s">
        <v>367</v>
      </c>
      <c r="D317" t="s">
        <v>87</v>
      </c>
      <c r="E317" t="s">
        <v>25</v>
      </c>
      <c r="F317" t="s">
        <v>1238</v>
      </c>
      <c r="G317" t="s">
        <v>31</v>
      </c>
      <c r="H317">
        <v>3</v>
      </c>
      <c r="I317">
        <v>74.069999999999993</v>
      </c>
      <c r="J317">
        <v>0</v>
      </c>
      <c r="K317">
        <v>222.21</v>
      </c>
      <c r="L317">
        <v>68.72</v>
      </c>
      <c r="M317">
        <v>206.16</v>
      </c>
      <c r="N317">
        <v>36</v>
      </c>
      <c r="O317" t="s">
        <v>19</v>
      </c>
      <c r="P317" t="s">
        <v>51</v>
      </c>
    </row>
    <row r="318" spans="1:16">
      <c r="A318">
        <v>100093</v>
      </c>
      <c r="B318" s="4">
        <v>45157</v>
      </c>
      <c r="C318" t="s">
        <v>795</v>
      </c>
      <c r="D318" t="s">
        <v>87</v>
      </c>
      <c r="E318" t="s">
        <v>25</v>
      </c>
      <c r="F318" t="s">
        <v>1241</v>
      </c>
      <c r="G318" t="s">
        <v>48</v>
      </c>
      <c r="H318">
        <v>2</v>
      </c>
      <c r="I318">
        <v>68.290000000000006</v>
      </c>
      <c r="J318">
        <v>5</v>
      </c>
      <c r="K318">
        <v>129.75</v>
      </c>
      <c r="L318">
        <v>37.71</v>
      </c>
      <c r="M318">
        <v>75.42</v>
      </c>
      <c r="N318">
        <v>29</v>
      </c>
      <c r="O318" t="s">
        <v>26</v>
      </c>
      <c r="P318" t="s">
        <v>20</v>
      </c>
    </row>
    <row r="319" spans="1:16">
      <c r="A319">
        <v>101074</v>
      </c>
      <c r="B319" s="4">
        <v>45301</v>
      </c>
      <c r="C319" t="s">
        <v>369</v>
      </c>
      <c r="D319" t="s">
        <v>68</v>
      </c>
      <c r="E319" t="s">
        <v>25</v>
      </c>
      <c r="F319" t="s">
        <v>1241</v>
      </c>
      <c r="G319" t="s">
        <v>31</v>
      </c>
      <c r="H319">
        <v>3</v>
      </c>
      <c r="I319">
        <v>219.01</v>
      </c>
      <c r="J319">
        <v>10</v>
      </c>
      <c r="K319">
        <v>591.33000000000004</v>
      </c>
      <c r="L319">
        <v>166.09</v>
      </c>
      <c r="M319">
        <v>498.27</v>
      </c>
      <c r="N319">
        <v>34</v>
      </c>
      <c r="O319" t="s">
        <v>19</v>
      </c>
      <c r="P319" t="s">
        <v>35</v>
      </c>
    </row>
    <row r="320" spans="1:16">
      <c r="A320">
        <v>100695</v>
      </c>
      <c r="B320" s="4">
        <v>45680</v>
      </c>
      <c r="C320" t="s">
        <v>370</v>
      </c>
      <c r="D320" t="s">
        <v>70</v>
      </c>
      <c r="E320" t="s">
        <v>25</v>
      </c>
      <c r="F320" t="s">
        <v>1239</v>
      </c>
      <c r="G320" t="s">
        <v>18</v>
      </c>
      <c r="H320">
        <v>3</v>
      </c>
      <c r="I320">
        <v>162.84</v>
      </c>
      <c r="J320">
        <v>0</v>
      </c>
      <c r="K320">
        <v>488.52</v>
      </c>
      <c r="L320">
        <v>148.62</v>
      </c>
      <c r="M320">
        <v>445.86</v>
      </c>
      <c r="N320">
        <v>43</v>
      </c>
      <c r="O320" t="s">
        <v>26</v>
      </c>
      <c r="P320" t="s">
        <v>32</v>
      </c>
    </row>
    <row r="321" spans="1:16">
      <c r="A321">
        <v>100922</v>
      </c>
      <c r="B321" s="4">
        <v>45528</v>
      </c>
      <c r="C321" t="s">
        <v>794</v>
      </c>
      <c r="D321" t="s">
        <v>73</v>
      </c>
      <c r="E321" t="s">
        <v>25</v>
      </c>
      <c r="F321" t="s">
        <v>1237</v>
      </c>
      <c r="G321" t="s">
        <v>18</v>
      </c>
      <c r="H321">
        <v>4</v>
      </c>
      <c r="I321">
        <v>38.78</v>
      </c>
      <c r="J321">
        <v>0</v>
      </c>
      <c r="K321">
        <v>155.12</v>
      </c>
      <c r="L321">
        <v>56.56</v>
      </c>
      <c r="M321">
        <v>226.24</v>
      </c>
      <c r="N321">
        <v>43</v>
      </c>
      <c r="O321" t="s">
        <v>26</v>
      </c>
      <c r="P321" t="s">
        <v>35</v>
      </c>
    </row>
    <row r="322" spans="1:16">
      <c r="A322">
        <v>100723</v>
      </c>
      <c r="B322" s="4">
        <v>45094</v>
      </c>
      <c r="C322" t="s">
        <v>372</v>
      </c>
      <c r="D322" t="s">
        <v>70</v>
      </c>
      <c r="E322" t="s">
        <v>25</v>
      </c>
      <c r="F322" t="s">
        <v>1238</v>
      </c>
      <c r="G322" t="s">
        <v>48</v>
      </c>
      <c r="H322">
        <v>3</v>
      </c>
      <c r="I322">
        <v>147.44</v>
      </c>
      <c r="J322">
        <v>40</v>
      </c>
      <c r="K322">
        <v>265.39</v>
      </c>
      <c r="L322">
        <v>83.86</v>
      </c>
      <c r="M322">
        <v>251.57999999999998</v>
      </c>
      <c r="N322">
        <v>43</v>
      </c>
      <c r="O322" t="s">
        <v>26</v>
      </c>
      <c r="P322" t="s">
        <v>20</v>
      </c>
    </row>
    <row r="323" spans="1:16">
      <c r="A323">
        <v>100905</v>
      </c>
      <c r="B323" s="4">
        <v>45151</v>
      </c>
      <c r="C323" t="s">
        <v>793</v>
      </c>
      <c r="D323" t="s">
        <v>73</v>
      </c>
      <c r="E323" t="s">
        <v>25</v>
      </c>
      <c r="F323" t="s">
        <v>1241</v>
      </c>
      <c r="G323" t="s">
        <v>18</v>
      </c>
      <c r="H323">
        <v>2</v>
      </c>
      <c r="I323">
        <v>33.17</v>
      </c>
      <c r="J323">
        <v>5</v>
      </c>
      <c r="K323">
        <v>63.02</v>
      </c>
      <c r="L323">
        <v>21.07</v>
      </c>
      <c r="M323">
        <v>42.14</v>
      </c>
      <c r="N323">
        <v>28</v>
      </c>
      <c r="O323" t="s">
        <v>26</v>
      </c>
      <c r="P323" t="s">
        <v>32</v>
      </c>
    </row>
    <row r="324" spans="1:16">
      <c r="A324">
        <v>100217</v>
      </c>
      <c r="B324" s="4">
        <v>45038</v>
      </c>
      <c r="C324" t="s">
        <v>791</v>
      </c>
      <c r="D324" t="s">
        <v>100</v>
      </c>
      <c r="E324" t="s">
        <v>25</v>
      </c>
      <c r="F324" t="s">
        <v>1241</v>
      </c>
      <c r="G324" t="s">
        <v>18</v>
      </c>
      <c r="H324">
        <v>2</v>
      </c>
      <c r="I324">
        <v>130.16</v>
      </c>
      <c r="J324">
        <v>0</v>
      </c>
      <c r="K324">
        <v>260.32</v>
      </c>
      <c r="L324">
        <v>98.85</v>
      </c>
      <c r="M324">
        <v>197.7</v>
      </c>
      <c r="N324">
        <v>23</v>
      </c>
      <c r="O324" t="s">
        <v>19</v>
      </c>
      <c r="P324" t="s">
        <v>51</v>
      </c>
    </row>
    <row r="325" spans="1:16">
      <c r="A325">
        <v>100599</v>
      </c>
      <c r="B325" s="4">
        <v>45880</v>
      </c>
      <c r="C325" t="s">
        <v>375</v>
      </c>
      <c r="D325" t="s">
        <v>70</v>
      </c>
      <c r="E325" t="s">
        <v>25</v>
      </c>
      <c r="F325" t="s">
        <v>1241</v>
      </c>
      <c r="G325" t="s">
        <v>18</v>
      </c>
      <c r="H325">
        <v>4</v>
      </c>
      <c r="I325">
        <v>155.11000000000001</v>
      </c>
      <c r="J325">
        <v>10</v>
      </c>
      <c r="K325">
        <v>558.4</v>
      </c>
      <c r="L325">
        <v>140.93</v>
      </c>
      <c r="M325">
        <v>563.72</v>
      </c>
      <c r="N325">
        <v>24</v>
      </c>
      <c r="O325" t="s">
        <v>26</v>
      </c>
      <c r="P325" t="s">
        <v>27</v>
      </c>
    </row>
    <row r="326" spans="1:16">
      <c r="A326">
        <v>100340</v>
      </c>
      <c r="B326" s="4">
        <v>45078</v>
      </c>
      <c r="C326" t="s">
        <v>788</v>
      </c>
      <c r="D326" t="s">
        <v>24</v>
      </c>
      <c r="E326" t="s">
        <v>25</v>
      </c>
      <c r="F326" t="s">
        <v>1240</v>
      </c>
      <c r="G326" t="s">
        <v>18</v>
      </c>
      <c r="H326">
        <v>1</v>
      </c>
      <c r="I326">
        <v>96.62</v>
      </c>
      <c r="J326">
        <v>0</v>
      </c>
      <c r="K326">
        <v>96.62</v>
      </c>
      <c r="L326">
        <v>25.35</v>
      </c>
      <c r="M326">
        <v>25.35</v>
      </c>
      <c r="N326">
        <v>30</v>
      </c>
      <c r="O326" t="s">
        <v>26</v>
      </c>
      <c r="P326" t="s">
        <v>20</v>
      </c>
    </row>
    <row r="327" spans="1:16">
      <c r="A327">
        <v>100566</v>
      </c>
      <c r="B327" s="4">
        <v>45565</v>
      </c>
      <c r="C327" t="s">
        <v>377</v>
      </c>
      <c r="D327" t="s">
        <v>68</v>
      </c>
      <c r="E327" t="s">
        <v>25</v>
      </c>
      <c r="F327" t="s">
        <v>1239</v>
      </c>
      <c r="G327" t="s">
        <v>18</v>
      </c>
      <c r="H327">
        <v>3</v>
      </c>
      <c r="I327">
        <v>211.03</v>
      </c>
      <c r="J327">
        <v>5</v>
      </c>
      <c r="K327">
        <v>601.44000000000005</v>
      </c>
      <c r="L327">
        <v>181.47</v>
      </c>
      <c r="M327">
        <v>544.41</v>
      </c>
      <c r="N327">
        <v>31</v>
      </c>
      <c r="O327" t="s">
        <v>19</v>
      </c>
      <c r="P327" t="s">
        <v>35</v>
      </c>
    </row>
    <row r="328" spans="1:16">
      <c r="A328">
        <v>100730</v>
      </c>
      <c r="B328" s="4">
        <v>45634</v>
      </c>
      <c r="C328" t="s">
        <v>378</v>
      </c>
      <c r="D328" t="s">
        <v>87</v>
      </c>
      <c r="E328" t="s">
        <v>25</v>
      </c>
      <c r="F328" t="s">
        <v>1237</v>
      </c>
      <c r="G328" t="s">
        <v>31</v>
      </c>
      <c r="H328">
        <v>3</v>
      </c>
      <c r="I328">
        <v>95.98</v>
      </c>
      <c r="J328">
        <v>10</v>
      </c>
      <c r="K328">
        <v>259.14999999999998</v>
      </c>
      <c r="L328">
        <v>73.569999999999993</v>
      </c>
      <c r="M328">
        <v>220.70999999999998</v>
      </c>
      <c r="N328">
        <v>32</v>
      </c>
      <c r="O328" t="s">
        <v>26</v>
      </c>
      <c r="P328" t="s">
        <v>27</v>
      </c>
    </row>
    <row r="329" spans="1:16">
      <c r="A329">
        <v>100273</v>
      </c>
      <c r="B329" s="4">
        <v>45036</v>
      </c>
      <c r="C329" t="s">
        <v>379</v>
      </c>
      <c r="D329" t="s">
        <v>68</v>
      </c>
      <c r="E329" t="s">
        <v>25</v>
      </c>
      <c r="F329" t="s">
        <v>1240</v>
      </c>
      <c r="G329" t="s">
        <v>18</v>
      </c>
      <c r="H329">
        <v>2</v>
      </c>
      <c r="I329">
        <v>220.53</v>
      </c>
      <c r="J329">
        <v>5</v>
      </c>
      <c r="K329">
        <v>419.01</v>
      </c>
      <c r="L329">
        <v>123.73</v>
      </c>
      <c r="M329">
        <v>247.46</v>
      </c>
      <c r="N329">
        <v>29</v>
      </c>
      <c r="O329" t="s">
        <v>19</v>
      </c>
      <c r="P329" t="s">
        <v>43</v>
      </c>
    </row>
    <row r="330" spans="1:16">
      <c r="A330">
        <v>100966</v>
      </c>
      <c r="B330" s="4">
        <v>45816</v>
      </c>
      <c r="C330" t="s">
        <v>380</v>
      </c>
      <c r="D330" t="s">
        <v>42</v>
      </c>
      <c r="E330" t="s">
        <v>25</v>
      </c>
      <c r="F330" t="s">
        <v>1241</v>
      </c>
      <c r="G330" t="s">
        <v>18</v>
      </c>
      <c r="H330">
        <v>2</v>
      </c>
      <c r="I330">
        <v>161.53</v>
      </c>
      <c r="J330">
        <v>10</v>
      </c>
      <c r="K330">
        <v>290.75</v>
      </c>
      <c r="L330">
        <v>75.05</v>
      </c>
      <c r="M330">
        <v>150.1</v>
      </c>
      <c r="N330">
        <v>16</v>
      </c>
      <c r="O330" t="s">
        <v>26</v>
      </c>
      <c r="P330" t="s">
        <v>81</v>
      </c>
    </row>
    <row r="331" spans="1:16">
      <c r="A331">
        <v>100356</v>
      </c>
      <c r="B331" s="4">
        <v>45926</v>
      </c>
      <c r="C331" t="s">
        <v>782</v>
      </c>
      <c r="D331" t="s">
        <v>42</v>
      </c>
      <c r="E331" t="s">
        <v>25</v>
      </c>
      <c r="F331" t="s">
        <v>1238</v>
      </c>
      <c r="G331" t="s">
        <v>31</v>
      </c>
      <c r="H331">
        <v>2</v>
      </c>
      <c r="I331">
        <v>166.99</v>
      </c>
      <c r="J331">
        <v>0</v>
      </c>
      <c r="K331">
        <v>333.98</v>
      </c>
      <c r="L331">
        <v>100.3</v>
      </c>
      <c r="M331">
        <v>200.6</v>
      </c>
      <c r="N331">
        <v>29</v>
      </c>
      <c r="O331" t="s">
        <v>26</v>
      </c>
      <c r="P331" t="s">
        <v>43</v>
      </c>
    </row>
    <row r="332" spans="1:16">
      <c r="A332">
        <v>100099</v>
      </c>
      <c r="B332" s="4">
        <v>44942</v>
      </c>
      <c r="C332" t="s">
        <v>779</v>
      </c>
      <c r="D332" t="s">
        <v>68</v>
      </c>
      <c r="E332" t="s">
        <v>25</v>
      </c>
      <c r="F332" t="s">
        <v>1237</v>
      </c>
      <c r="G332" t="s">
        <v>18</v>
      </c>
      <c r="H332">
        <v>2</v>
      </c>
      <c r="I332">
        <v>212.72</v>
      </c>
      <c r="J332">
        <v>5</v>
      </c>
      <c r="K332">
        <v>404.17</v>
      </c>
      <c r="L332">
        <v>70.67</v>
      </c>
      <c r="M332">
        <v>141.34</v>
      </c>
      <c r="N332">
        <v>35</v>
      </c>
      <c r="O332" t="s">
        <v>26</v>
      </c>
      <c r="P332" t="s">
        <v>20</v>
      </c>
    </row>
    <row r="333" spans="1:16">
      <c r="A333">
        <v>100179</v>
      </c>
      <c r="B333" s="4">
        <v>45255</v>
      </c>
      <c r="C333" t="s">
        <v>778</v>
      </c>
      <c r="D333" t="s">
        <v>87</v>
      </c>
      <c r="E333" t="s">
        <v>25</v>
      </c>
      <c r="F333" t="s">
        <v>1237</v>
      </c>
      <c r="G333" t="s">
        <v>18</v>
      </c>
      <c r="H333">
        <v>3</v>
      </c>
      <c r="I333">
        <v>89.31</v>
      </c>
      <c r="J333">
        <v>10</v>
      </c>
      <c r="K333">
        <v>241.14</v>
      </c>
      <c r="L333">
        <v>71.790000000000006</v>
      </c>
      <c r="M333">
        <v>215.37</v>
      </c>
      <c r="N333">
        <v>31</v>
      </c>
      <c r="O333" t="s">
        <v>19</v>
      </c>
      <c r="P333" t="s">
        <v>32</v>
      </c>
    </row>
    <row r="334" spans="1:16">
      <c r="A334">
        <v>100901</v>
      </c>
      <c r="B334" s="4">
        <v>45708</v>
      </c>
      <c r="C334" t="s">
        <v>772</v>
      </c>
      <c r="D334" t="s">
        <v>100</v>
      </c>
      <c r="E334" t="s">
        <v>25</v>
      </c>
      <c r="F334" t="s">
        <v>1239</v>
      </c>
      <c r="G334" t="s">
        <v>18</v>
      </c>
      <c r="H334">
        <v>1</v>
      </c>
      <c r="I334">
        <v>116.18</v>
      </c>
      <c r="J334">
        <v>0</v>
      </c>
      <c r="K334">
        <v>116.18</v>
      </c>
      <c r="L334">
        <v>34.49</v>
      </c>
      <c r="M334">
        <v>34.49</v>
      </c>
      <c r="N334">
        <v>31</v>
      </c>
      <c r="O334" t="s">
        <v>26</v>
      </c>
      <c r="P334" t="s">
        <v>51</v>
      </c>
    </row>
    <row r="335" spans="1:16">
      <c r="A335">
        <v>100311</v>
      </c>
      <c r="B335" s="4">
        <v>45763</v>
      </c>
      <c r="C335" t="s">
        <v>384</v>
      </c>
      <c r="D335" t="s">
        <v>87</v>
      </c>
      <c r="E335" t="s">
        <v>25</v>
      </c>
      <c r="F335" t="s">
        <v>1238</v>
      </c>
      <c r="G335" t="s">
        <v>18</v>
      </c>
      <c r="H335">
        <v>3</v>
      </c>
      <c r="I335">
        <v>81.489999999999995</v>
      </c>
      <c r="J335">
        <v>0</v>
      </c>
      <c r="K335">
        <v>244.47</v>
      </c>
      <c r="L335">
        <v>98.55</v>
      </c>
      <c r="M335">
        <v>295.64999999999998</v>
      </c>
      <c r="N335">
        <v>21</v>
      </c>
      <c r="O335" t="s">
        <v>26</v>
      </c>
      <c r="P335" t="s">
        <v>32</v>
      </c>
    </row>
    <row r="336" spans="1:16">
      <c r="A336">
        <v>101090</v>
      </c>
      <c r="B336" s="4">
        <v>45487</v>
      </c>
      <c r="C336" t="s">
        <v>385</v>
      </c>
      <c r="D336" t="s">
        <v>24</v>
      </c>
      <c r="E336" t="s">
        <v>25</v>
      </c>
      <c r="F336" t="s">
        <v>1238</v>
      </c>
      <c r="G336" t="s">
        <v>18</v>
      </c>
      <c r="H336">
        <v>2</v>
      </c>
      <c r="I336">
        <v>88.81</v>
      </c>
      <c r="J336">
        <v>5</v>
      </c>
      <c r="K336">
        <v>168.74</v>
      </c>
      <c r="L336">
        <v>52.11</v>
      </c>
      <c r="M336">
        <v>104.22</v>
      </c>
      <c r="N336">
        <v>30</v>
      </c>
      <c r="O336" t="s">
        <v>26</v>
      </c>
      <c r="P336" t="s">
        <v>27</v>
      </c>
    </row>
    <row r="337" spans="1:16">
      <c r="A337">
        <v>100451</v>
      </c>
      <c r="B337" s="4">
        <v>45589</v>
      </c>
      <c r="C337" t="s">
        <v>386</v>
      </c>
      <c r="D337" t="s">
        <v>24</v>
      </c>
      <c r="E337" t="s">
        <v>25</v>
      </c>
      <c r="F337" t="s">
        <v>1241</v>
      </c>
      <c r="G337" t="s">
        <v>31</v>
      </c>
      <c r="H337">
        <v>1</v>
      </c>
      <c r="I337">
        <v>96.41</v>
      </c>
      <c r="J337">
        <v>0</v>
      </c>
      <c r="K337">
        <v>96.41</v>
      </c>
      <c r="L337">
        <v>36.99</v>
      </c>
      <c r="M337">
        <v>36.99</v>
      </c>
      <c r="N337">
        <v>40</v>
      </c>
      <c r="O337" t="s">
        <v>26</v>
      </c>
      <c r="P337" t="s">
        <v>27</v>
      </c>
    </row>
    <row r="338" spans="1:16">
      <c r="A338">
        <v>100257</v>
      </c>
      <c r="B338" s="4">
        <v>45752</v>
      </c>
      <c r="C338" t="s">
        <v>769</v>
      </c>
      <c r="D338" t="s">
        <v>42</v>
      </c>
      <c r="E338" t="s">
        <v>25</v>
      </c>
      <c r="F338" t="s">
        <v>1241</v>
      </c>
      <c r="G338" t="s">
        <v>18</v>
      </c>
      <c r="H338">
        <v>1</v>
      </c>
      <c r="I338">
        <v>126.83</v>
      </c>
      <c r="J338">
        <v>10</v>
      </c>
      <c r="K338">
        <v>114.15</v>
      </c>
      <c r="L338">
        <v>39.17</v>
      </c>
      <c r="M338">
        <v>39.17</v>
      </c>
      <c r="N338">
        <v>23</v>
      </c>
      <c r="O338" t="s">
        <v>26</v>
      </c>
      <c r="P338" t="s">
        <v>20</v>
      </c>
    </row>
    <row r="339" spans="1:16">
      <c r="A339">
        <v>101034</v>
      </c>
      <c r="B339" s="4">
        <v>45161</v>
      </c>
      <c r="C339" t="s">
        <v>768</v>
      </c>
      <c r="D339" t="s">
        <v>87</v>
      </c>
      <c r="E339" t="s">
        <v>25</v>
      </c>
      <c r="F339" t="s">
        <v>1241</v>
      </c>
      <c r="G339" t="s">
        <v>64</v>
      </c>
      <c r="H339">
        <v>2</v>
      </c>
      <c r="I339">
        <v>90.12</v>
      </c>
      <c r="J339">
        <v>10</v>
      </c>
      <c r="K339">
        <v>162.22</v>
      </c>
      <c r="L339">
        <v>43.68</v>
      </c>
      <c r="M339">
        <v>87.36</v>
      </c>
      <c r="N339">
        <v>38</v>
      </c>
      <c r="O339" t="s">
        <v>19</v>
      </c>
      <c r="P339" t="s">
        <v>32</v>
      </c>
    </row>
    <row r="340" spans="1:16">
      <c r="A340">
        <v>101085</v>
      </c>
      <c r="B340" s="4">
        <v>45646</v>
      </c>
      <c r="C340" t="s">
        <v>389</v>
      </c>
      <c r="D340" t="s">
        <v>87</v>
      </c>
      <c r="E340" t="s">
        <v>25</v>
      </c>
      <c r="F340" t="s">
        <v>1239</v>
      </c>
      <c r="G340" t="s">
        <v>31</v>
      </c>
      <c r="H340">
        <v>4</v>
      </c>
      <c r="I340">
        <v>67.959999999999994</v>
      </c>
      <c r="J340">
        <v>5</v>
      </c>
      <c r="K340">
        <v>258.25</v>
      </c>
      <c r="L340">
        <v>117.48</v>
      </c>
      <c r="M340">
        <v>469.92</v>
      </c>
      <c r="N340">
        <v>27</v>
      </c>
      <c r="O340" t="s">
        <v>26</v>
      </c>
      <c r="P340" t="s">
        <v>35</v>
      </c>
    </row>
    <row r="341" spans="1:16">
      <c r="A341">
        <v>100674</v>
      </c>
      <c r="B341" s="4">
        <v>45493</v>
      </c>
      <c r="C341" t="s">
        <v>763</v>
      </c>
      <c r="D341" t="s">
        <v>42</v>
      </c>
      <c r="E341" t="s">
        <v>25</v>
      </c>
      <c r="F341" t="s">
        <v>1239</v>
      </c>
      <c r="G341" t="s">
        <v>18</v>
      </c>
      <c r="H341">
        <v>3</v>
      </c>
      <c r="I341">
        <v>170.01</v>
      </c>
      <c r="J341">
        <v>5</v>
      </c>
      <c r="K341">
        <v>484.53</v>
      </c>
      <c r="L341">
        <v>126.2</v>
      </c>
      <c r="M341">
        <v>378.6</v>
      </c>
      <c r="N341">
        <v>34</v>
      </c>
      <c r="O341" t="s">
        <v>26</v>
      </c>
      <c r="P341" t="s">
        <v>32</v>
      </c>
    </row>
    <row r="342" spans="1:16">
      <c r="A342">
        <v>101157</v>
      </c>
      <c r="B342" s="4">
        <v>45137</v>
      </c>
      <c r="C342" t="s">
        <v>391</v>
      </c>
      <c r="D342" t="s">
        <v>42</v>
      </c>
      <c r="E342" t="s">
        <v>25</v>
      </c>
      <c r="F342" t="s">
        <v>1238</v>
      </c>
      <c r="G342" t="s">
        <v>18</v>
      </c>
      <c r="H342">
        <v>2</v>
      </c>
      <c r="I342">
        <v>165.61</v>
      </c>
      <c r="J342">
        <v>0</v>
      </c>
      <c r="K342">
        <v>331.22</v>
      </c>
      <c r="L342">
        <v>93.05</v>
      </c>
      <c r="M342">
        <v>186.1</v>
      </c>
      <c r="N342">
        <v>19</v>
      </c>
      <c r="O342" t="s">
        <v>19</v>
      </c>
      <c r="P342" t="s">
        <v>81</v>
      </c>
    </row>
    <row r="343" spans="1:16">
      <c r="A343">
        <v>101122</v>
      </c>
      <c r="B343" s="4">
        <v>45876</v>
      </c>
      <c r="C343" t="s">
        <v>762</v>
      </c>
      <c r="D343" t="s">
        <v>100</v>
      </c>
      <c r="E343" t="s">
        <v>25</v>
      </c>
      <c r="F343" t="s">
        <v>1241</v>
      </c>
      <c r="G343" t="s">
        <v>18</v>
      </c>
      <c r="H343">
        <v>2</v>
      </c>
      <c r="I343">
        <v>146.54</v>
      </c>
      <c r="J343">
        <v>10</v>
      </c>
      <c r="K343">
        <v>263.77</v>
      </c>
      <c r="L343">
        <v>71.62</v>
      </c>
      <c r="M343">
        <v>143.24</v>
      </c>
      <c r="N343">
        <v>33</v>
      </c>
      <c r="O343" t="s">
        <v>26</v>
      </c>
      <c r="P343" t="s">
        <v>27</v>
      </c>
    </row>
    <row r="344" spans="1:16">
      <c r="A344">
        <v>100822</v>
      </c>
      <c r="B344" s="4">
        <v>45216</v>
      </c>
      <c r="C344" t="s">
        <v>393</v>
      </c>
      <c r="D344" t="s">
        <v>24</v>
      </c>
      <c r="E344" t="s">
        <v>25</v>
      </c>
      <c r="F344" t="s">
        <v>1241</v>
      </c>
      <c r="G344" t="s">
        <v>18</v>
      </c>
      <c r="H344">
        <v>1</v>
      </c>
      <c r="I344">
        <v>98.91</v>
      </c>
      <c r="J344">
        <v>0</v>
      </c>
      <c r="K344">
        <v>98.91</v>
      </c>
      <c r="L344">
        <v>33.729999999999997</v>
      </c>
      <c r="M344">
        <v>33.729999999999997</v>
      </c>
      <c r="N344">
        <v>22</v>
      </c>
      <c r="O344" t="s">
        <v>19</v>
      </c>
      <c r="P344" t="s">
        <v>27</v>
      </c>
    </row>
    <row r="345" spans="1:16">
      <c r="A345">
        <v>100426</v>
      </c>
      <c r="B345" s="4">
        <v>45299</v>
      </c>
      <c r="C345" t="s">
        <v>759</v>
      </c>
      <c r="D345" t="s">
        <v>70</v>
      </c>
      <c r="E345" t="s">
        <v>25</v>
      </c>
      <c r="F345" t="s">
        <v>1239</v>
      </c>
      <c r="G345" t="s">
        <v>18</v>
      </c>
      <c r="H345">
        <v>4</v>
      </c>
      <c r="I345">
        <v>155.24</v>
      </c>
      <c r="J345">
        <v>0</v>
      </c>
      <c r="K345">
        <v>620.96</v>
      </c>
      <c r="L345">
        <v>198.84</v>
      </c>
      <c r="M345">
        <v>795.36</v>
      </c>
      <c r="N345">
        <v>16</v>
      </c>
      <c r="O345" t="s">
        <v>19</v>
      </c>
      <c r="P345" t="s">
        <v>46</v>
      </c>
    </row>
    <row r="346" spans="1:16">
      <c r="A346">
        <v>100807</v>
      </c>
      <c r="B346" s="4">
        <v>45349</v>
      </c>
      <c r="C346" t="s">
        <v>758</v>
      </c>
      <c r="D346" t="s">
        <v>87</v>
      </c>
      <c r="E346" t="s">
        <v>25</v>
      </c>
      <c r="F346" t="s">
        <v>1237</v>
      </c>
      <c r="G346" t="s">
        <v>48</v>
      </c>
      <c r="H346">
        <v>4</v>
      </c>
      <c r="I346">
        <v>84.54</v>
      </c>
      <c r="J346">
        <v>5</v>
      </c>
      <c r="K346">
        <v>321.25</v>
      </c>
      <c r="L346">
        <v>78.11</v>
      </c>
      <c r="M346">
        <v>312.44</v>
      </c>
      <c r="N346">
        <v>22</v>
      </c>
      <c r="O346" t="s">
        <v>26</v>
      </c>
      <c r="P346" t="s">
        <v>27</v>
      </c>
    </row>
    <row r="347" spans="1:16">
      <c r="A347">
        <v>100926</v>
      </c>
      <c r="B347" s="4">
        <v>45642</v>
      </c>
      <c r="C347" t="s">
        <v>747</v>
      </c>
      <c r="D347" t="s">
        <v>70</v>
      </c>
      <c r="E347" t="s">
        <v>25</v>
      </c>
      <c r="F347" t="s">
        <v>1239</v>
      </c>
      <c r="G347" t="s">
        <v>18</v>
      </c>
      <c r="H347">
        <v>3</v>
      </c>
      <c r="I347">
        <v>161.79</v>
      </c>
      <c r="J347">
        <v>20</v>
      </c>
      <c r="K347">
        <v>388.3</v>
      </c>
      <c r="L347">
        <v>89.31</v>
      </c>
      <c r="M347">
        <v>267.93</v>
      </c>
      <c r="N347">
        <v>47</v>
      </c>
      <c r="O347" t="s">
        <v>19</v>
      </c>
      <c r="P347" t="s">
        <v>20</v>
      </c>
    </row>
    <row r="348" spans="1:16">
      <c r="A348">
        <v>100498</v>
      </c>
      <c r="B348" s="4">
        <v>45420</v>
      </c>
      <c r="C348" t="s">
        <v>745</v>
      </c>
      <c r="D348" t="s">
        <v>87</v>
      </c>
      <c r="E348" t="s">
        <v>25</v>
      </c>
      <c r="F348" t="s">
        <v>1238</v>
      </c>
      <c r="G348" t="s">
        <v>31</v>
      </c>
      <c r="H348">
        <v>4</v>
      </c>
      <c r="I348">
        <v>88.15</v>
      </c>
      <c r="J348">
        <v>40</v>
      </c>
      <c r="K348">
        <v>211.56</v>
      </c>
      <c r="L348">
        <v>49.01</v>
      </c>
      <c r="M348">
        <v>196.04</v>
      </c>
      <c r="N348">
        <v>24</v>
      </c>
      <c r="O348" t="s">
        <v>26</v>
      </c>
      <c r="P348" t="s">
        <v>51</v>
      </c>
    </row>
    <row r="349" spans="1:16">
      <c r="A349">
        <v>101148</v>
      </c>
      <c r="B349" s="4">
        <v>45275</v>
      </c>
      <c r="C349" t="s">
        <v>744</v>
      </c>
      <c r="D349" t="s">
        <v>73</v>
      </c>
      <c r="E349" t="s">
        <v>25</v>
      </c>
      <c r="F349" t="s">
        <v>1237</v>
      </c>
      <c r="G349" t="s">
        <v>31</v>
      </c>
      <c r="H349">
        <v>3</v>
      </c>
      <c r="I349">
        <v>35.85</v>
      </c>
      <c r="J349">
        <v>0</v>
      </c>
      <c r="K349">
        <v>107.55</v>
      </c>
      <c r="L349">
        <v>29.32</v>
      </c>
      <c r="M349">
        <v>87.960000000000008</v>
      </c>
      <c r="N349">
        <v>20</v>
      </c>
      <c r="O349" t="s">
        <v>26</v>
      </c>
      <c r="P349" t="s">
        <v>20</v>
      </c>
    </row>
    <row r="350" spans="1:16">
      <c r="A350">
        <v>100604</v>
      </c>
      <c r="B350" s="4">
        <v>45567</v>
      </c>
      <c r="C350" t="s">
        <v>742</v>
      </c>
      <c r="D350" t="s">
        <v>87</v>
      </c>
      <c r="E350" t="s">
        <v>25</v>
      </c>
      <c r="F350" t="s">
        <v>1241</v>
      </c>
      <c r="G350" t="s">
        <v>31</v>
      </c>
      <c r="H350">
        <v>4</v>
      </c>
      <c r="I350">
        <v>83.05</v>
      </c>
      <c r="J350">
        <v>0</v>
      </c>
      <c r="K350">
        <v>332.2</v>
      </c>
      <c r="L350">
        <v>64.53</v>
      </c>
      <c r="M350">
        <v>258.12</v>
      </c>
      <c r="N350">
        <v>28</v>
      </c>
      <c r="O350" t="s">
        <v>26</v>
      </c>
      <c r="P350" t="s">
        <v>81</v>
      </c>
    </row>
    <row r="351" spans="1:16">
      <c r="A351">
        <v>100398</v>
      </c>
      <c r="B351" s="4">
        <v>45439</v>
      </c>
      <c r="C351" t="s">
        <v>400</v>
      </c>
      <c r="D351" t="s">
        <v>87</v>
      </c>
      <c r="E351" t="s">
        <v>25</v>
      </c>
      <c r="F351" t="s">
        <v>1238</v>
      </c>
      <c r="G351" t="s">
        <v>18</v>
      </c>
      <c r="H351">
        <v>3</v>
      </c>
      <c r="I351">
        <v>67.58</v>
      </c>
      <c r="J351">
        <v>0</v>
      </c>
      <c r="K351">
        <v>202.74</v>
      </c>
      <c r="L351">
        <v>58.89</v>
      </c>
      <c r="M351">
        <v>176.67000000000002</v>
      </c>
      <c r="N351">
        <v>34</v>
      </c>
      <c r="O351" t="s">
        <v>26</v>
      </c>
      <c r="P351" t="s">
        <v>35</v>
      </c>
    </row>
    <row r="352" spans="1:16">
      <c r="A352">
        <v>100256</v>
      </c>
      <c r="B352" s="4">
        <v>44943</v>
      </c>
      <c r="C352" t="s">
        <v>401</v>
      </c>
      <c r="D352" t="s">
        <v>39</v>
      </c>
      <c r="E352" t="s">
        <v>25</v>
      </c>
      <c r="F352" t="s">
        <v>1238</v>
      </c>
      <c r="G352" t="s">
        <v>18</v>
      </c>
      <c r="H352">
        <v>5</v>
      </c>
      <c r="I352">
        <v>172.7</v>
      </c>
      <c r="J352">
        <v>0</v>
      </c>
      <c r="K352">
        <v>863.5</v>
      </c>
      <c r="L352">
        <v>208.49</v>
      </c>
      <c r="M352">
        <v>1042.45</v>
      </c>
      <c r="N352">
        <v>25</v>
      </c>
      <c r="O352" t="s">
        <v>19</v>
      </c>
      <c r="P352" t="s">
        <v>20</v>
      </c>
    </row>
    <row r="353" spans="1:16">
      <c r="A353">
        <v>100417</v>
      </c>
      <c r="B353" s="4">
        <v>45591</v>
      </c>
      <c r="C353" t="s">
        <v>740</v>
      </c>
      <c r="D353" t="s">
        <v>42</v>
      </c>
      <c r="E353" t="s">
        <v>25</v>
      </c>
      <c r="F353" t="s">
        <v>1237</v>
      </c>
      <c r="G353" t="s">
        <v>18</v>
      </c>
      <c r="H353">
        <v>2</v>
      </c>
      <c r="I353">
        <v>164.55</v>
      </c>
      <c r="J353">
        <v>10</v>
      </c>
      <c r="K353">
        <v>296.19</v>
      </c>
      <c r="L353">
        <v>70.34</v>
      </c>
      <c r="M353">
        <v>140.68</v>
      </c>
      <c r="N353">
        <v>34</v>
      </c>
      <c r="O353" t="s">
        <v>19</v>
      </c>
      <c r="P353" t="s">
        <v>35</v>
      </c>
    </row>
    <row r="354" spans="1:16">
      <c r="A354">
        <v>100616</v>
      </c>
      <c r="B354" s="4">
        <v>45837</v>
      </c>
      <c r="C354" t="s">
        <v>226</v>
      </c>
      <c r="D354" t="s">
        <v>70</v>
      </c>
      <c r="E354" t="s">
        <v>25</v>
      </c>
      <c r="F354" t="s">
        <v>1237</v>
      </c>
      <c r="G354" t="s">
        <v>31</v>
      </c>
      <c r="H354">
        <v>6</v>
      </c>
      <c r="I354">
        <v>149.62</v>
      </c>
      <c r="J354">
        <v>10</v>
      </c>
      <c r="K354">
        <v>807.95</v>
      </c>
      <c r="L354">
        <v>253.48</v>
      </c>
      <c r="M354">
        <v>1520.8799999999999</v>
      </c>
      <c r="N354">
        <v>23</v>
      </c>
      <c r="O354" t="s">
        <v>26</v>
      </c>
      <c r="P354" t="s">
        <v>20</v>
      </c>
    </row>
    <row r="355" spans="1:16">
      <c r="A355">
        <v>100336</v>
      </c>
      <c r="B355" s="4">
        <v>45372</v>
      </c>
      <c r="C355" t="s">
        <v>404</v>
      </c>
      <c r="D355" t="s">
        <v>68</v>
      </c>
      <c r="E355" t="s">
        <v>25</v>
      </c>
      <c r="F355" t="s">
        <v>1241</v>
      </c>
      <c r="G355" t="s">
        <v>18</v>
      </c>
      <c r="H355">
        <v>1</v>
      </c>
      <c r="I355">
        <v>212.26</v>
      </c>
      <c r="J355">
        <v>20</v>
      </c>
      <c r="K355">
        <v>169.81</v>
      </c>
      <c r="L355">
        <v>32.200000000000003</v>
      </c>
      <c r="M355">
        <v>32.200000000000003</v>
      </c>
      <c r="N355">
        <v>26</v>
      </c>
      <c r="O355" t="s">
        <v>19</v>
      </c>
      <c r="P355" t="s">
        <v>43</v>
      </c>
    </row>
    <row r="356" spans="1:16">
      <c r="A356">
        <v>100584</v>
      </c>
      <c r="B356" s="4">
        <v>45154</v>
      </c>
      <c r="C356" t="s">
        <v>405</v>
      </c>
      <c r="D356" t="s">
        <v>73</v>
      </c>
      <c r="E356" t="s">
        <v>25</v>
      </c>
      <c r="F356" t="s">
        <v>1241</v>
      </c>
      <c r="G356" t="s">
        <v>64</v>
      </c>
      <c r="H356">
        <v>2</v>
      </c>
      <c r="I356">
        <v>34</v>
      </c>
      <c r="J356">
        <v>0</v>
      </c>
      <c r="K356">
        <v>68</v>
      </c>
      <c r="L356">
        <v>20.12</v>
      </c>
      <c r="M356">
        <v>40.24</v>
      </c>
      <c r="N356">
        <v>24</v>
      </c>
      <c r="O356" t="s">
        <v>122</v>
      </c>
      <c r="P356" t="s">
        <v>46</v>
      </c>
    </row>
    <row r="357" spans="1:16">
      <c r="A357">
        <v>100047</v>
      </c>
      <c r="B357" s="4">
        <v>45488</v>
      </c>
      <c r="C357" t="s">
        <v>406</v>
      </c>
      <c r="D357" t="s">
        <v>39</v>
      </c>
      <c r="E357" t="s">
        <v>25</v>
      </c>
      <c r="F357" t="s">
        <v>1241</v>
      </c>
      <c r="G357" t="s">
        <v>31</v>
      </c>
      <c r="H357">
        <v>2</v>
      </c>
      <c r="I357">
        <v>194.87</v>
      </c>
      <c r="J357">
        <v>5</v>
      </c>
      <c r="K357">
        <v>370.25</v>
      </c>
      <c r="L357">
        <v>134.53</v>
      </c>
      <c r="M357">
        <v>269.06</v>
      </c>
      <c r="N357">
        <v>24</v>
      </c>
      <c r="O357" t="s">
        <v>19</v>
      </c>
      <c r="P357" t="s">
        <v>43</v>
      </c>
    </row>
    <row r="358" spans="1:16">
      <c r="A358">
        <v>101121</v>
      </c>
      <c r="B358" s="4">
        <v>45208</v>
      </c>
      <c r="C358" t="s">
        <v>735</v>
      </c>
      <c r="D358" t="s">
        <v>24</v>
      </c>
      <c r="E358" t="s">
        <v>25</v>
      </c>
      <c r="F358" t="s">
        <v>1237</v>
      </c>
      <c r="G358" t="s">
        <v>31</v>
      </c>
      <c r="H358">
        <v>5</v>
      </c>
      <c r="I358">
        <v>85.87</v>
      </c>
      <c r="J358">
        <v>0</v>
      </c>
      <c r="K358">
        <v>429.35</v>
      </c>
      <c r="L358">
        <v>171.55</v>
      </c>
      <c r="M358">
        <v>857.75</v>
      </c>
      <c r="N358">
        <v>33</v>
      </c>
      <c r="O358" t="s">
        <v>19</v>
      </c>
      <c r="P358" t="s">
        <v>27</v>
      </c>
    </row>
    <row r="359" spans="1:16">
      <c r="A359">
        <v>100412</v>
      </c>
      <c r="B359" s="4">
        <v>44940</v>
      </c>
      <c r="C359" t="s">
        <v>733</v>
      </c>
      <c r="D359" t="s">
        <v>24</v>
      </c>
      <c r="E359" t="s">
        <v>25</v>
      </c>
      <c r="F359" t="s">
        <v>1239</v>
      </c>
      <c r="G359" t="s">
        <v>31</v>
      </c>
      <c r="H359">
        <v>5</v>
      </c>
      <c r="I359">
        <v>91.74</v>
      </c>
      <c r="J359">
        <v>0</v>
      </c>
      <c r="K359">
        <v>458.7</v>
      </c>
      <c r="L359">
        <v>151.11000000000001</v>
      </c>
      <c r="M359">
        <v>755.55000000000007</v>
      </c>
      <c r="N359">
        <v>30</v>
      </c>
      <c r="O359" t="s">
        <v>26</v>
      </c>
      <c r="P359" t="s">
        <v>27</v>
      </c>
    </row>
    <row r="360" spans="1:16">
      <c r="A360">
        <v>100720</v>
      </c>
      <c r="B360" s="4">
        <v>45354</v>
      </c>
      <c r="C360" t="s">
        <v>722</v>
      </c>
      <c r="D360" t="s">
        <v>42</v>
      </c>
      <c r="E360" t="s">
        <v>25</v>
      </c>
      <c r="F360" t="s">
        <v>1237</v>
      </c>
      <c r="G360" t="s">
        <v>18</v>
      </c>
      <c r="H360">
        <v>1</v>
      </c>
      <c r="I360">
        <v>145.79</v>
      </c>
      <c r="J360">
        <v>5</v>
      </c>
      <c r="K360">
        <v>138.5</v>
      </c>
      <c r="L360">
        <v>49.49</v>
      </c>
      <c r="M360">
        <v>49.49</v>
      </c>
      <c r="N360">
        <v>18</v>
      </c>
      <c r="O360" t="s">
        <v>26</v>
      </c>
      <c r="P360" t="s">
        <v>20</v>
      </c>
    </row>
    <row r="361" spans="1:16">
      <c r="A361">
        <v>100055</v>
      </c>
      <c r="B361" s="4">
        <v>45068</v>
      </c>
      <c r="C361" t="s">
        <v>410</v>
      </c>
      <c r="D361" t="s">
        <v>68</v>
      </c>
      <c r="E361" t="s">
        <v>25</v>
      </c>
      <c r="F361" t="s">
        <v>1237</v>
      </c>
      <c r="G361" t="s">
        <v>31</v>
      </c>
      <c r="H361">
        <v>1</v>
      </c>
      <c r="I361">
        <v>234.95</v>
      </c>
      <c r="J361">
        <v>20</v>
      </c>
      <c r="K361">
        <v>187.96</v>
      </c>
      <c r="L361">
        <v>65.34</v>
      </c>
      <c r="M361">
        <v>65.34</v>
      </c>
      <c r="N361">
        <v>41</v>
      </c>
      <c r="O361" t="s">
        <v>26</v>
      </c>
      <c r="P361" t="s">
        <v>32</v>
      </c>
    </row>
    <row r="362" spans="1:16">
      <c r="A362">
        <v>100368</v>
      </c>
      <c r="B362" s="4">
        <v>45927</v>
      </c>
      <c r="C362" t="s">
        <v>718</v>
      </c>
      <c r="D362" t="s">
        <v>24</v>
      </c>
      <c r="E362" t="s">
        <v>25</v>
      </c>
      <c r="F362" t="s">
        <v>1241</v>
      </c>
      <c r="G362" t="s">
        <v>31</v>
      </c>
      <c r="H362">
        <v>4</v>
      </c>
      <c r="I362">
        <v>90.47</v>
      </c>
      <c r="J362">
        <v>5</v>
      </c>
      <c r="K362">
        <v>343.79</v>
      </c>
      <c r="L362">
        <v>126.76</v>
      </c>
      <c r="M362">
        <v>507.04</v>
      </c>
      <c r="N362">
        <v>29</v>
      </c>
      <c r="O362" t="s">
        <v>26</v>
      </c>
      <c r="P362" t="s">
        <v>20</v>
      </c>
    </row>
    <row r="363" spans="1:16">
      <c r="A363">
        <v>100061</v>
      </c>
      <c r="B363" s="4">
        <v>45185</v>
      </c>
      <c r="C363" t="s">
        <v>713</v>
      </c>
      <c r="D363" t="s">
        <v>24</v>
      </c>
      <c r="E363" t="s">
        <v>25</v>
      </c>
      <c r="F363" t="s">
        <v>1237</v>
      </c>
      <c r="G363" t="s">
        <v>18</v>
      </c>
      <c r="H363">
        <v>4</v>
      </c>
      <c r="I363">
        <v>85.91</v>
      </c>
      <c r="J363">
        <v>5</v>
      </c>
      <c r="K363">
        <v>326.45999999999998</v>
      </c>
      <c r="L363">
        <v>86.53</v>
      </c>
      <c r="M363">
        <v>346.12</v>
      </c>
      <c r="N363">
        <v>29</v>
      </c>
      <c r="O363" t="s">
        <v>19</v>
      </c>
      <c r="P363" t="s">
        <v>51</v>
      </c>
    </row>
    <row r="364" spans="1:16">
      <c r="A364">
        <v>100120</v>
      </c>
      <c r="B364" s="4">
        <v>45209</v>
      </c>
      <c r="C364" t="s">
        <v>413</v>
      </c>
      <c r="D364" t="s">
        <v>73</v>
      </c>
      <c r="E364" t="s">
        <v>25</v>
      </c>
      <c r="F364" t="s">
        <v>1240</v>
      </c>
      <c r="G364" t="s">
        <v>48</v>
      </c>
      <c r="H364">
        <v>3</v>
      </c>
      <c r="I364">
        <v>33.35</v>
      </c>
      <c r="J364">
        <v>0</v>
      </c>
      <c r="K364">
        <v>100.05</v>
      </c>
      <c r="L364">
        <v>29.35</v>
      </c>
      <c r="M364">
        <v>88.050000000000011</v>
      </c>
      <c r="N364">
        <v>21</v>
      </c>
      <c r="O364" t="s">
        <v>26</v>
      </c>
      <c r="P364" t="s">
        <v>51</v>
      </c>
    </row>
    <row r="365" spans="1:16">
      <c r="A365">
        <v>100948</v>
      </c>
      <c r="B365" s="4">
        <v>45887</v>
      </c>
      <c r="C365" t="s">
        <v>710</v>
      </c>
      <c r="D365" t="s">
        <v>73</v>
      </c>
      <c r="E365" t="s">
        <v>25</v>
      </c>
      <c r="F365" t="s">
        <v>1241</v>
      </c>
      <c r="G365" t="s">
        <v>31</v>
      </c>
      <c r="H365">
        <v>4</v>
      </c>
      <c r="I365">
        <v>31.44</v>
      </c>
      <c r="J365">
        <v>10</v>
      </c>
      <c r="K365">
        <v>113.18</v>
      </c>
      <c r="L365">
        <v>31.47</v>
      </c>
      <c r="M365">
        <v>125.88</v>
      </c>
      <c r="N365">
        <v>32</v>
      </c>
      <c r="O365" t="s">
        <v>19</v>
      </c>
      <c r="P365" t="s">
        <v>51</v>
      </c>
    </row>
    <row r="366" spans="1:16">
      <c r="A366">
        <v>100018</v>
      </c>
      <c r="B366" s="4">
        <v>45157</v>
      </c>
      <c r="C366" t="s">
        <v>709</v>
      </c>
      <c r="D366" t="s">
        <v>24</v>
      </c>
      <c r="E366" t="s">
        <v>25</v>
      </c>
      <c r="F366" t="s">
        <v>1237</v>
      </c>
      <c r="G366" t="s">
        <v>18</v>
      </c>
      <c r="H366">
        <v>1</v>
      </c>
      <c r="I366">
        <v>97.25</v>
      </c>
      <c r="J366">
        <v>5</v>
      </c>
      <c r="K366">
        <v>92.39</v>
      </c>
      <c r="L366">
        <v>28.92</v>
      </c>
      <c r="M366">
        <v>28.92</v>
      </c>
      <c r="N366">
        <v>16</v>
      </c>
      <c r="O366" t="s">
        <v>26</v>
      </c>
      <c r="P366" t="s">
        <v>27</v>
      </c>
    </row>
    <row r="367" spans="1:16">
      <c r="A367">
        <v>101117</v>
      </c>
      <c r="B367" s="4">
        <v>45654</v>
      </c>
      <c r="C367" t="s">
        <v>416</v>
      </c>
      <c r="D367" t="s">
        <v>68</v>
      </c>
      <c r="E367" t="s">
        <v>25</v>
      </c>
      <c r="F367" t="s">
        <v>1237</v>
      </c>
      <c r="G367" t="s">
        <v>31</v>
      </c>
      <c r="H367">
        <v>6</v>
      </c>
      <c r="I367">
        <v>234.25</v>
      </c>
      <c r="J367">
        <v>0</v>
      </c>
      <c r="K367">
        <v>1405.5</v>
      </c>
      <c r="L367">
        <v>364.55</v>
      </c>
      <c r="M367">
        <v>2187.3000000000002</v>
      </c>
      <c r="N367">
        <v>46</v>
      </c>
      <c r="O367" t="s">
        <v>19</v>
      </c>
      <c r="P367" t="s">
        <v>20</v>
      </c>
    </row>
    <row r="368" spans="1:16">
      <c r="A368">
        <v>100176</v>
      </c>
      <c r="B368" s="4">
        <v>45698</v>
      </c>
      <c r="C368" t="s">
        <v>708</v>
      </c>
      <c r="D368" t="s">
        <v>73</v>
      </c>
      <c r="E368" t="s">
        <v>25</v>
      </c>
      <c r="F368" t="s">
        <v>1239</v>
      </c>
      <c r="G368" t="s">
        <v>18</v>
      </c>
      <c r="H368">
        <v>3</v>
      </c>
      <c r="I368">
        <v>33.450000000000003</v>
      </c>
      <c r="J368">
        <v>5</v>
      </c>
      <c r="K368">
        <v>95.33</v>
      </c>
      <c r="L368">
        <v>37.57</v>
      </c>
      <c r="M368">
        <v>112.71000000000001</v>
      </c>
      <c r="N368">
        <v>20</v>
      </c>
      <c r="O368" t="s">
        <v>19</v>
      </c>
      <c r="P368" t="s">
        <v>20</v>
      </c>
    </row>
    <row r="369" spans="1:16">
      <c r="A369">
        <v>100741</v>
      </c>
      <c r="B369" s="4">
        <v>45925</v>
      </c>
      <c r="C369" t="s">
        <v>707</v>
      </c>
      <c r="D369" t="s">
        <v>73</v>
      </c>
      <c r="E369" t="s">
        <v>25</v>
      </c>
      <c r="F369" t="s">
        <v>1237</v>
      </c>
      <c r="G369" t="s">
        <v>64</v>
      </c>
      <c r="H369">
        <v>3</v>
      </c>
      <c r="I369">
        <v>36.020000000000003</v>
      </c>
      <c r="J369">
        <v>5</v>
      </c>
      <c r="K369">
        <v>102.66</v>
      </c>
      <c r="L369">
        <v>24.89</v>
      </c>
      <c r="M369">
        <v>74.67</v>
      </c>
      <c r="N369">
        <v>32</v>
      </c>
      <c r="O369" t="s">
        <v>26</v>
      </c>
      <c r="P369" t="s">
        <v>32</v>
      </c>
    </row>
    <row r="370" spans="1:16">
      <c r="A370">
        <v>100395</v>
      </c>
      <c r="B370" s="4">
        <v>45792</v>
      </c>
      <c r="C370" t="s">
        <v>706</v>
      </c>
      <c r="D370" t="s">
        <v>42</v>
      </c>
      <c r="E370" t="s">
        <v>25</v>
      </c>
      <c r="F370" t="s">
        <v>1239</v>
      </c>
      <c r="G370" t="s">
        <v>18</v>
      </c>
      <c r="H370">
        <v>2</v>
      </c>
      <c r="I370">
        <v>167.72</v>
      </c>
      <c r="J370">
        <v>0</v>
      </c>
      <c r="K370">
        <v>335.44</v>
      </c>
      <c r="L370">
        <v>101.32</v>
      </c>
      <c r="M370">
        <v>202.64</v>
      </c>
      <c r="N370">
        <v>21</v>
      </c>
      <c r="O370" t="s">
        <v>26</v>
      </c>
      <c r="P370" t="s">
        <v>35</v>
      </c>
    </row>
    <row r="371" spans="1:16">
      <c r="A371">
        <v>100444</v>
      </c>
      <c r="B371" s="4">
        <v>45404</v>
      </c>
      <c r="C371" t="s">
        <v>705</v>
      </c>
      <c r="D371" t="s">
        <v>68</v>
      </c>
      <c r="E371" t="s">
        <v>25</v>
      </c>
      <c r="F371" t="s">
        <v>1239</v>
      </c>
      <c r="G371" t="s">
        <v>31</v>
      </c>
      <c r="H371">
        <v>1</v>
      </c>
      <c r="I371">
        <v>200.35</v>
      </c>
      <c r="J371">
        <v>10</v>
      </c>
      <c r="K371">
        <v>180.31</v>
      </c>
      <c r="L371">
        <v>65.23</v>
      </c>
      <c r="M371">
        <v>65.23</v>
      </c>
      <c r="N371">
        <v>34</v>
      </c>
      <c r="O371" t="s">
        <v>19</v>
      </c>
      <c r="P371" t="s">
        <v>20</v>
      </c>
    </row>
    <row r="372" spans="1:16">
      <c r="A372">
        <v>100557</v>
      </c>
      <c r="B372" s="4">
        <v>45509</v>
      </c>
      <c r="C372" t="s">
        <v>421</v>
      </c>
      <c r="D372" t="s">
        <v>73</v>
      </c>
      <c r="E372" t="s">
        <v>25</v>
      </c>
      <c r="F372" t="s">
        <v>1237</v>
      </c>
      <c r="G372" t="s">
        <v>31</v>
      </c>
      <c r="H372">
        <v>1</v>
      </c>
      <c r="I372">
        <v>36.42</v>
      </c>
      <c r="J372">
        <v>0</v>
      </c>
      <c r="K372">
        <v>36.42</v>
      </c>
      <c r="L372">
        <v>8.8699999999999992</v>
      </c>
      <c r="M372">
        <v>8.8699999999999992</v>
      </c>
      <c r="N372">
        <v>49</v>
      </c>
      <c r="O372" t="s">
        <v>26</v>
      </c>
      <c r="P372" t="s">
        <v>27</v>
      </c>
    </row>
    <row r="373" spans="1:16">
      <c r="A373">
        <v>101081</v>
      </c>
      <c r="B373" s="4">
        <v>45033</v>
      </c>
      <c r="C373" t="s">
        <v>422</v>
      </c>
      <c r="D373" t="s">
        <v>24</v>
      </c>
      <c r="E373" t="s">
        <v>25</v>
      </c>
      <c r="F373" t="s">
        <v>1237</v>
      </c>
      <c r="G373" t="s">
        <v>18</v>
      </c>
      <c r="H373">
        <v>3</v>
      </c>
      <c r="I373">
        <v>110.01</v>
      </c>
      <c r="J373">
        <v>5</v>
      </c>
      <c r="K373">
        <v>313.52999999999997</v>
      </c>
      <c r="L373">
        <v>123.66</v>
      </c>
      <c r="M373">
        <v>370.98</v>
      </c>
      <c r="N373">
        <v>28</v>
      </c>
      <c r="O373" t="s">
        <v>26</v>
      </c>
      <c r="P373" t="s">
        <v>35</v>
      </c>
    </row>
    <row r="374" spans="1:16">
      <c r="A374">
        <v>100979</v>
      </c>
      <c r="B374" s="4">
        <v>45901</v>
      </c>
      <c r="C374" t="s">
        <v>704</v>
      </c>
      <c r="D374" t="s">
        <v>87</v>
      </c>
      <c r="E374" t="s">
        <v>25</v>
      </c>
      <c r="F374" t="s">
        <v>1239</v>
      </c>
      <c r="G374" t="s">
        <v>31</v>
      </c>
      <c r="H374">
        <v>4</v>
      </c>
      <c r="I374">
        <v>91.51</v>
      </c>
      <c r="J374">
        <v>0</v>
      </c>
      <c r="K374">
        <v>366.04</v>
      </c>
      <c r="L374">
        <v>115.45</v>
      </c>
      <c r="M374">
        <v>461.8</v>
      </c>
      <c r="N374">
        <v>46</v>
      </c>
      <c r="O374" t="s">
        <v>26</v>
      </c>
      <c r="P374" t="s">
        <v>43</v>
      </c>
    </row>
    <row r="375" spans="1:16">
      <c r="A375">
        <v>100383</v>
      </c>
      <c r="B375" s="4">
        <v>45104</v>
      </c>
      <c r="C375" t="s">
        <v>700</v>
      </c>
      <c r="D375" t="s">
        <v>73</v>
      </c>
      <c r="E375" t="s">
        <v>25</v>
      </c>
      <c r="F375" t="s">
        <v>1241</v>
      </c>
      <c r="G375" t="s">
        <v>18</v>
      </c>
      <c r="H375">
        <v>3</v>
      </c>
      <c r="I375">
        <v>37.49</v>
      </c>
      <c r="J375">
        <v>0</v>
      </c>
      <c r="K375">
        <v>112.47</v>
      </c>
      <c r="L375">
        <v>30.79</v>
      </c>
      <c r="M375">
        <v>92.37</v>
      </c>
      <c r="N375">
        <v>31</v>
      </c>
      <c r="O375" t="s">
        <v>26</v>
      </c>
      <c r="P375" t="s">
        <v>81</v>
      </c>
    </row>
    <row r="376" spans="1:16">
      <c r="A376">
        <v>101052</v>
      </c>
      <c r="B376" s="4">
        <v>45817</v>
      </c>
      <c r="C376" t="s">
        <v>699</v>
      </c>
      <c r="D376" t="s">
        <v>100</v>
      </c>
      <c r="E376" t="s">
        <v>25</v>
      </c>
      <c r="F376" t="s">
        <v>1237</v>
      </c>
      <c r="G376" t="s">
        <v>18</v>
      </c>
      <c r="H376">
        <v>3</v>
      </c>
      <c r="I376">
        <v>129.12</v>
      </c>
      <c r="J376">
        <v>0</v>
      </c>
      <c r="K376">
        <v>387.36</v>
      </c>
      <c r="L376">
        <v>119.57</v>
      </c>
      <c r="M376">
        <v>358.71</v>
      </c>
      <c r="N376">
        <v>43</v>
      </c>
      <c r="O376" t="s">
        <v>26</v>
      </c>
      <c r="P376" t="s">
        <v>32</v>
      </c>
    </row>
    <row r="377" spans="1:16">
      <c r="A377">
        <v>100366</v>
      </c>
      <c r="B377" s="4">
        <v>45170</v>
      </c>
      <c r="C377" t="s">
        <v>697</v>
      </c>
      <c r="D377" t="s">
        <v>87</v>
      </c>
      <c r="E377" t="s">
        <v>25</v>
      </c>
      <c r="F377" t="s">
        <v>1237</v>
      </c>
      <c r="G377" t="s">
        <v>48</v>
      </c>
      <c r="H377">
        <v>3</v>
      </c>
      <c r="I377">
        <v>80.47</v>
      </c>
      <c r="J377">
        <v>10</v>
      </c>
      <c r="K377">
        <v>217.27</v>
      </c>
      <c r="L377">
        <v>74.67</v>
      </c>
      <c r="M377">
        <v>224.01</v>
      </c>
      <c r="N377">
        <v>33</v>
      </c>
      <c r="O377" t="s">
        <v>26</v>
      </c>
      <c r="P377" t="s">
        <v>43</v>
      </c>
    </row>
    <row r="378" spans="1:16">
      <c r="A378">
        <v>101013</v>
      </c>
      <c r="B378" s="4">
        <v>45192</v>
      </c>
      <c r="C378" t="s">
        <v>427</v>
      </c>
      <c r="D378" t="s">
        <v>39</v>
      </c>
      <c r="E378" t="s">
        <v>25</v>
      </c>
      <c r="F378" t="s">
        <v>1237</v>
      </c>
      <c r="G378" t="s">
        <v>31</v>
      </c>
      <c r="H378">
        <v>3</v>
      </c>
      <c r="I378">
        <v>196.56</v>
      </c>
      <c r="J378">
        <v>0</v>
      </c>
      <c r="K378">
        <v>589.67999999999995</v>
      </c>
      <c r="L378">
        <v>194.21</v>
      </c>
      <c r="M378">
        <v>582.63</v>
      </c>
      <c r="N378">
        <v>24</v>
      </c>
      <c r="O378" t="s">
        <v>26</v>
      </c>
      <c r="P378" t="s">
        <v>20</v>
      </c>
    </row>
    <row r="379" spans="1:16">
      <c r="A379">
        <v>100993</v>
      </c>
      <c r="B379" s="4">
        <v>45622</v>
      </c>
      <c r="C379" t="s">
        <v>696</v>
      </c>
      <c r="D379" t="s">
        <v>42</v>
      </c>
      <c r="E379" t="s">
        <v>25</v>
      </c>
      <c r="F379" t="s">
        <v>1241</v>
      </c>
      <c r="G379" t="s">
        <v>64</v>
      </c>
      <c r="H379">
        <v>3</v>
      </c>
      <c r="I379">
        <v>155.56</v>
      </c>
      <c r="J379">
        <v>0</v>
      </c>
      <c r="K379">
        <v>466.68</v>
      </c>
      <c r="L379">
        <v>133.65</v>
      </c>
      <c r="M379">
        <v>400.95000000000005</v>
      </c>
      <c r="N379">
        <v>39</v>
      </c>
      <c r="O379" t="s">
        <v>26</v>
      </c>
      <c r="P379" t="s">
        <v>81</v>
      </c>
    </row>
    <row r="380" spans="1:16">
      <c r="A380">
        <v>100752</v>
      </c>
      <c r="B380" s="4">
        <v>45533</v>
      </c>
      <c r="C380" t="s">
        <v>695</v>
      </c>
      <c r="D380" t="s">
        <v>24</v>
      </c>
      <c r="E380" t="s">
        <v>25</v>
      </c>
      <c r="F380" t="s">
        <v>1241</v>
      </c>
      <c r="G380" t="s">
        <v>18</v>
      </c>
      <c r="H380">
        <v>1</v>
      </c>
      <c r="I380">
        <v>91.04</v>
      </c>
      <c r="J380">
        <v>0</v>
      </c>
      <c r="K380">
        <v>91.04</v>
      </c>
      <c r="L380">
        <v>20.12</v>
      </c>
      <c r="M380">
        <v>20.12</v>
      </c>
      <c r="N380">
        <v>47</v>
      </c>
      <c r="O380" t="s">
        <v>26</v>
      </c>
      <c r="P380" t="s">
        <v>81</v>
      </c>
    </row>
    <row r="381" spans="1:16">
      <c r="A381">
        <v>100679</v>
      </c>
      <c r="B381" s="4">
        <v>45210</v>
      </c>
      <c r="C381" t="s">
        <v>694</v>
      </c>
      <c r="D381" t="s">
        <v>70</v>
      </c>
      <c r="E381" t="s">
        <v>25</v>
      </c>
      <c r="F381" t="s">
        <v>1237</v>
      </c>
      <c r="G381" t="s">
        <v>31</v>
      </c>
      <c r="H381">
        <v>2</v>
      </c>
      <c r="I381">
        <v>155.49</v>
      </c>
      <c r="J381">
        <v>20</v>
      </c>
      <c r="K381">
        <v>248.78</v>
      </c>
      <c r="L381">
        <v>62.32</v>
      </c>
      <c r="M381">
        <v>124.64</v>
      </c>
      <c r="N381">
        <v>29</v>
      </c>
      <c r="O381" t="s">
        <v>19</v>
      </c>
      <c r="P381" t="s">
        <v>46</v>
      </c>
    </row>
    <row r="382" spans="1:16">
      <c r="A382">
        <v>100660</v>
      </c>
      <c r="B382" s="4">
        <v>44962</v>
      </c>
      <c r="C382" t="s">
        <v>693</v>
      </c>
      <c r="D382" t="s">
        <v>24</v>
      </c>
      <c r="E382" t="s">
        <v>25</v>
      </c>
      <c r="F382" t="s">
        <v>1237</v>
      </c>
      <c r="G382" t="s">
        <v>31</v>
      </c>
      <c r="H382">
        <v>3</v>
      </c>
      <c r="I382">
        <v>94.21</v>
      </c>
      <c r="J382">
        <v>10</v>
      </c>
      <c r="K382">
        <v>254.37</v>
      </c>
      <c r="L382">
        <v>60.55</v>
      </c>
      <c r="M382">
        <v>181.64999999999998</v>
      </c>
      <c r="N382">
        <v>39</v>
      </c>
      <c r="O382" t="s">
        <v>26</v>
      </c>
      <c r="P382" t="s">
        <v>46</v>
      </c>
    </row>
    <row r="383" spans="1:16">
      <c r="A383">
        <v>101162</v>
      </c>
      <c r="B383" s="4">
        <v>45700</v>
      </c>
      <c r="C383" t="s">
        <v>432</v>
      </c>
      <c r="D383" t="s">
        <v>68</v>
      </c>
      <c r="E383" t="s">
        <v>25</v>
      </c>
      <c r="F383" t="s">
        <v>1241</v>
      </c>
      <c r="G383" t="s">
        <v>48</v>
      </c>
      <c r="H383">
        <v>1</v>
      </c>
      <c r="I383">
        <v>214.74</v>
      </c>
      <c r="J383">
        <v>0</v>
      </c>
      <c r="K383">
        <v>214.74</v>
      </c>
      <c r="L383">
        <v>60.58</v>
      </c>
      <c r="M383">
        <v>60.58</v>
      </c>
      <c r="N383">
        <v>18</v>
      </c>
      <c r="O383" t="s">
        <v>26</v>
      </c>
      <c r="P383" t="s">
        <v>46</v>
      </c>
    </row>
    <row r="384" spans="1:16">
      <c r="A384">
        <v>100528</v>
      </c>
      <c r="B384" s="4">
        <v>45349</v>
      </c>
      <c r="C384" t="s">
        <v>433</v>
      </c>
      <c r="D384" t="s">
        <v>73</v>
      </c>
      <c r="E384" t="s">
        <v>25</v>
      </c>
      <c r="F384" t="s">
        <v>1241</v>
      </c>
      <c r="G384" t="s">
        <v>18</v>
      </c>
      <c r="H384">
        <v>3</v>
      </c>
      <c r="I384">
        <v>38.49</v>
      </c>
      <c r="J384">
        <v>0</v>
      </c>
      <c r="K384">
        <v>115.47</v>
      </c>
      <c r="L384">
        <v>34.28</v>
      </c>
      <c r="M384">
        <v>102.84</v>
      </c>
      <c r="N384">
        <v>25</v>
      </c>
      <c r="O384" t="s">
        <v>19</v>
      </c>
      <c r="P384" t="s">
        <v>46</v>
      </c>
    </row>
    <row r="385" spans="1:16">
      <c r="A385">
        <v>100024</v>
      </c>
      <c r="B385" s="4">
        <v>45919</v>
      </c>
      <c r="C385" t="s">
        <v>692</v>
      </c>
      <c r="D385" t="s">
        <v>24</v>
      </c>
      <c r="E385" t="s">
        <v>25</v>
      </c>
      <c r="F385" t="s">
        <v>1239</v>
      </c>
      <c r="G385" t="s">
        <v>18</v>
      </c>
      <c r="H385">
        <v>3</v>
      </c>
      <c r="I385">
        <v>88.31</v>
      </c>
      <c r="J385">
        <v>0</v>
      </c>
      <c r="K385">
        <v>264.93</v>
      </c>
      <c r="L385">
        <v>80.5</v>
      </c>
      <c r="M385">
        <v>241.5</v>
      </c>
      <c r="N385">
        <v>30</v>
      </c>
      <c r="O385" t="s">
        <v>26</v>
      </c>
      <c r="P385" t="s">
        <v>51</v>
      </c>
    </row>
    <row r="386" spans="1:16">
      <c r="A386">
        <v>100468</v>
      </c>
      <c r="B386" s="4">
        <v>45383</v>
      </c>
      <c r="C386" t="s">
        <v>691</v>
      </c>
      <c r="D386" t="s">
        <v>42</v>
      </c>
      <c r="E386" t="s">
        <v>25</v>
      </c>
      <c r="F386" t="s">
        <v>1240</v>
      </c>
      <c r="G386" t="s">
        <v>31</v>
      </c>
      <c r="H386">
        <v>2</v>
      </c>
      <c r="I386">
        <v>143.91999999999999</v>
      </c>
      <c r="J386">
        <v>20</v>
      </c>
      <c r="K386">
        <v>230.27</v>
      </c>
      <c r="L386">
        <v>78.44</v>
      </c>
      <c r="M386">
        <v>156.88</v>
      </c>
      <c r="N386">
        <v>36</v>
      </c>
      <c r="O386" t="s">
        <v>19</v>
      </c>
      <c r="P386" t="s">
        <v>46</v>
      </c>
    </row>
    <row r="387" spans="1:16">
      <c r="A387">
        <v>100900</v>
      </c>
      <c r="B387" s="4">
        <v>45074</v>
      </c>
      <c r="C387" t="s">
        <v>436</v>
      </c>
      <c r="D387" t="s">
        <v>68</v>
      </c>
      <c r="E387" t="s">
        <v>25</v>
      </c>
      <c r="F387" t="s">
        <v>1241</v>
      </c>
      <c r="G387" t="s">
        <v>18</v>
      </c>
      <c r="H387">
        <v>4</v>
      </c>
      <c r="I387">
        <v>213.99</v>
      </c>
      <c r="J387">
        <v>0</v>
      </c>
      <c r="K387">
        <v>855.96</v>
      </c>
      <c r="L387">
        <v>293.89999999999998</v>
      </c>
      <c r="M387">
        <v>1175.5999999999999</v>
      </c>
      <c r="N387">
        <v>29</v>
      </c>
      <c r="O387" t="s">
        <v>26</v>
      </c>
      <c r="P387" t="s">
        <v>32</v>
      </c>
    </row>
    <row r="388" spans="1:16">
      <c r="A388">
        <v>100060</v>
      </c>
      <c r="B388" s="4">
        <v>45113</v>
      </c>
      <c r="C388" t="s">
        <v>437</v>
      </c>
      <c r="D388" t="s">
        <v>70</v>
      </c>
      <c r="E388" t="s">
        <v>25</v>
      </c>
      <c r="F388" t="s">
        <v>1238</v>
      </c>
      <c r="G388" t="s">
        <v>31</v>
      </c>
      <c r="H388">
        <v>2</v>
      </c>
      <c r="I388">
        <v>172.95</v>
      </c>
      <c r="J388">
        <v>40</v>
      </c>
      <c r="K388">
        <v>207.54</v>
      </c>
      <c r="L388">
        <v>73.319999999999993</v>
      </c>
      <c r="M388">
        <v>146.63999999999999</v>
      </c>
      <c r="N388">
        <v>39</v>
      </c>
      <c r="O388" t="s">
        <v>26</v>
      </c>
      <c r="P388" t="s">
        <v>32</v>
      </c>
    </row>
    <row r="389" spans="1:16">
      <c r="A389">
        <v>100483</v>
      </c>
      <c r="B389" s="4">
        <v>45362</v>
      </c>
      <c r="C389" t="s">
        <v>690</v>
      </c>
      <c r="D389" t="s">
        <v>68</v>
      </c>
      <c r="E389" t="s">
        <v>25</v>
      </c>
      <c r="F389" t="s">
        <v>1237</v>
      </c>
      <c r="G389" t="s">
        <v>48</v>
      </c>
      <c r="H389">
        <v>4</v>
      </c>
      <c r="I389">
        <v>222.32</v>
      </c>
      <c r="J389">
        <v>40</v>
      </c>
      <c r="K389">
        <v>533.57000000000005</v>
      </c>
      <c r="L389">
        <v>153.69999999999999</v>
      </c>
      <c r="M389">
        <v>614.79999999999995</v>
      </c>
      <c r="N389">
        <v>41</v>
      </c>
      <c r="O389" t="s">
        <v>26</v>
      </c>
      <c r="P389" t="s">
        <v>32</v>
      </c>
    </row>
    <row r="390" spans="1:16">
      <c r="A390">
        <v>100092</v>
      </c>
      <c r="B390" s="4">
        <v>45051</v>
      </c>
      <c r="C390" t="s">
        <v>439</v>
      </c>
      <c r="D390" t="s">
        <v>39</v>
      </c>
      <c r="E390" t="s">
        <v>25</v>
      </c>
      <c r="F390" t="s">
        <v>1237</v>
      </c>
      <c r="G390" t="s">
        <v>18</v>
      </c>
      <c r="H390">
        <v>2</v>
      </c>
      <c r="I390">
        <v>180.41</v>
      </c>
      <c r="J390">
        <v>0</v>
      </c>
      <c r="K390">
        <v>360.82</v>
      </c>
      <c r="L390">
        <v>125.72</v>
      </c>
      <c r="M390">
        <v>251.44</v>
      </c>
      <c r="N390">
        <v>42</v>
      </c>
      <c r="O390" t="s">
        <v>26</v>
      </c>
      <c r="P390" t="s">
        <v>81</v>
      </c>
    </row>
    <row r="391" spans="1:16">
      <c r="A391">
        <v>101165</v>
      </c>
      <c r="B391" s="4">
        <v>45436</v>
      </c>
      <c r="C391" t="s">
        <v>689</v>
      </c>
      <c r="D391" t="s">
        <v>39</v>
      </c>
      <c r="E391" t="s">
        <v>25</v>
      </c>
      <c r="F391" t="s">
        <v>1237</v>
      </c>
      <c r="G391" t="s">
        <v>64</v>
      </c>
      <c r="H391">
        <v>3</v>
      </c>
      <c r="I391">
        <v>170.5</v>
      </c>
      <c r="J391">
        <v>20</v>
      </c>
      <c r="K391">
        <v>409.2</v>
      </c>
      <c r="L391">
        <v>112.45</v>
      </c>
      <c r="M391">
        <v>337.35</v>
      </c>
      <c r="N391">
        <v>34</v>
      </c>
      <c r="O391" t="s">
        <v>26</v>
      </c>
      <c r="P391" t="s">
        <v>27</v>
      </c>
    </row>
    <row r="392" spans="1:16">
      <c r="A392">
        <v>100618</v>
      </c>
      <c r="B392" s="4">
        <v>45207</v>
      </c>
      <c r="C392" t="s">
        <v>441</v>
      </c>
      <c r="D392" t="s">
        <v>87</v>
      </c>
      <c r="E392" t="s">
        <v>25</v>
      </c>
      <c r="F392" t="s">
        <v>1237</v>
      </c>
      <c r="G392" t="s">
        <v>31</v>
      </c>
      <c r="H392">
        <v>6</v>
      </c>
      <c r="I392">
        <v>96.78</v>
      </c>
      <c r="J392">
        <v>10</v>
      </c>
      <c r="K392">
        <v>522.61</v>
      </c>
      <c r="L392">
        <v>175.15</v>
      </c>
      <c r="M392">
        <v>1050.9000000000001</v>
      </c>
      <c r="N392">
        <v>26</v>
      </c>
      <c r="O392" t="s">
        <v>26</v>
      </c>
      <c r="P392" t="s">
        <v>43</v>
      </c>
    </row>
    <row r="393" spans="1:16">
      <c r="A393">
        <v>100351</v>
      </c>
      <c r="B393" s="4">
        <v>45884</v>
      </c>
      <c r="C393" t="s">
        <v>442</v>
      </c>
      <c r="D393" t="s">
        <v>42</v>
      </c>
      <c r="E393" t="s">
        <v>25</v>
      </c>
      <c r="F393" t="s">
        <v>1237</v>
      </c>
      <c r="G393" t="s">
        <v>48</v>
      </c>
      <c r="H393">
        <v>4</v>
      </c>
      <c r="I393">
        <v>137.62</v>
      </c>
      <c r="J393">
        <v>20</v>
      </c>
      <c r="K393">
        <v>440.38</v>
      </c>
      <c r="L393">
        <v>108.09</v>
      </c>
      <c r="M393">
        <v>432.36</v>
      </c>
      <c r="N393">
        <v>26</v>
      </c>
      <c r="O393" t="s">
        <v>19</v>
      </c>
      <c r="P393" t="s">
        <v>81</v>
      </c>
    </row>
    <row r="394" spans="1:16">
      <c r="A394">
        <v>100932</v>
      </c>
      <c r="B394" s="4">
        <v>45614</v>
      </c>
      <c r="C394" t="s">
        <v>443</v>
      </c>
      <c r="D394" t="s">
        <v>39</v>
      </c>
      <c r="E394" t="s">
        <v>25</v>
      </c>
      <c r="F394" t="s">
        <v>1241</v>
      </c>
      <c r="G394" t="s">
        <v>18</v>
      </c>
      <c r="H394">
        <v>4</v>
      </c>
      <c r="I394">
        <v>158.80000000000001</v>
      </c>
      <c r="J394">
        <v>0</v>
      </c>
      <c r="K394">
        <v>635.20000000000005</v>
      </c>
      <c r="L394">
        <v>146.93</v>
      </c>
      <c r="M394">
        <v>587.72</v>
      </c>
      <c r="N394">
        <v>20</v>
      </c>
      <c r="O394" t="s">
        <v>26</v>
      </c>
      <c r="P394" t="s">
        <v>81</v>
      </c>
    </row>
    <row r="395" spans="1:16">
      <c r="A395">
        <v>101000</v>
      </c>
      <c r="B395" s="4">
        <v>45809</v>
      </c>
      <c r="C395" t="s">
        <v>688</v>
      </c>
      <c r="D395" t="s">
        <v>100</v>
      </c>
      <c r="E395" t="s">
        <v>25</v>
      </c>
      <c r="F395" t="s">
        <v>1241</v>
      </c>
      <c r="G395" t="s">
        <v>18</v>
      </c>
      <c r="H395">
        <v>3</v>
      </c>
      <c r="I395">
        <v>127.38</v>
      </c>
      <c r="J395">
        <v>0</v>
      </c>
      <c r="K395">
        <v>382.14</v>
      </c>
      <c r="L395">
        <v>91.64</v>
      </c>
      <c r="M395">
        <v>274.92</v>
      </c>
      <c r="N395">
        <v>27</v>
      </c>
      <c r="O395" t="s">
        <v>26</v>
      </c>
      <c r="P395" t="s">
        <v>81</v>
      </c>
    </row>
    <row r="396" spans="1:16">
      <c r="A396">
        <v>100568</v>
      </c>
      <c r="B396" s="4">
        <v>45637</v>
      </c>
      <c r="C396" t="s">
        <v>686</v>
      </c>
      <c r="D396" t="s">
        <v>87</v>
      </c>
      <c r="E396" t="s">
        <v>25</v>
      </c>
      <c r="F396" t="s">
        <v>1238</v>
      </c>
      <c r="G396" t="s">
        <v>18</v>
      </c>
      <c r="H396">
        <v>2</v>
      </c>
      <c r="I396">
        <v>89.15</v>
      </c>
      <c r="J396">
        <v>5</v>
      </c>
      <c r="K396">
        <v>169.38</v>
      </c>
      <c r="L396">
        <v>52.14</v>
      </c>
      <c r="M396">
        <v>104.28</v>
      </c>
      <c r="N396">
        <v>35</v>
      </c>
      <c r="O396" t="s">
        <v>19</v>
      </c>
      <c r="P396" t="s">
        <v>51</v>
      </c>
    </row>
    <row r="397" spans="1:16">
      <c r="A397">
        <v>100848</v>
      </c>
      <c r="B397" s="4">
        <v>45424</v>
      </c>
      <c r="C397" t="s">
        <v>685</v>
      </c>
      <c r="D397" t="s">
        <v>39</v>
      </c>
      <c r="E397" t="s">
        <v>25</v>
      </c>
      <c r="F397" t="s">
        <v>1241</v>
      </c>
      <c r="G397" t="s">
        <v>31</v>
      </c>
      <c r="H397">
        <v>5</v>
      </c>
      <c r="I397">
        <v>199.39</v>
      </c>
      <c r="J397">
        <v>0</v>
      </c>
      <c r="K397">
        <v>996.95</v>
      </c>
      <c r="L397">
        <v>236.22</v>
      </c>
      <c r="M397">
        <v>1181.0999999999999</v>
      </c>
      <c r="N397">
        <v>29</v>
      </c>
      <c r="O397" t="s">
        <v>26</v>
      </c>
      <c r="P397" t="s">
        <v>20</v>
      </c>
    </row>
    <row r="398" spans="1:16">
      <c r="A398">
        <v>100041</v>
      </c>
      <c r="B398" s="4">
        <v>45812</v>
      </c>
      <c r="C398" t="s">
        <v>683</v>
      </c>
      <c r="D398" t="s">
        <v>24</v>
      </c>
      <c r="E398" t="s">
        <v>25</v>
      </c>
      <c r="F398" t="s">
        <v>1241</v>
      </c>
      <c r="G398" t="s">
        <v>31</v>
      </c>
      <c r="H398">
        <v>1</v>
      </c>
      <c r="I398">
        <v>103.28</v>
      </c>
      <c r="J398">
        <v>0</v>
      </c>
      <c r="K398">
        <v>103.28</v>
      </c>
      <c r="L398">
        <v>39.04</v>
      </c>
      <c r="M398">
        <v>39.04</v>
      </c>
      <c r="N398">
        <v>31</v>
      </c>
      <c r="O398" t="s">
        <v>26</v>
      </c>
      <c r="P398" t="s">
        <v>43</v>
      </c>
    </row>
    <row r="399" spans="1:16">
      <c r="A399">
        <v>100732</v>
      </c>
      <c r="B399" s="4">
        <v>45528</v>
      </c>
      <c r="C399" t="s">
        <v>680</v>
      </c>
      <c r="D399" t="s">
        <v>73</v>
      </c>
      <c r="E399" t="s">
        <v>25</v>
      </c>
      <c r="F399" t="s">
        <v>1238</v>
      </c>
      <c r="G399" t="s">
        <v>18</v>
      </c>
      <c r="H399">
        <v>4</v>
      </c>
      <c r="I399">
        <v>32.520000000000003</v>
      </c>
      <c r="J399">
        <v>20</v>
      </c>
      <c r="K399">
        <v>104.06</v>
      </c>
      <c r="L399">
        <v>17.75</v>
      </c>
      <c r="M399">
        <v>71</v>
      </c>
      <c r="N399">
        <v>21</v>
      </c>
      <c r="O399" t="s">
        <v>19</v>
      </c>
      <c r="P399" t="s">
        <v>20</v>
      </c>
    </row>
    <row r="400" spans="1:16">
      <c r="A400">
        <v>100678</v>
      </c>
      <c r="B400" s="4">
        <v>45123</v>
      </c>
      <c r="C400" t="s">
        <v>449</v>
      </c>
      <c r="D400" t="s">
        <v>87</v>
      </c>
      <c r="E400" t="s">
        <v>25</v>
      </c>
      <c r="F400" t="s">
        <v>1240</v>
      </c>
      <c r="G400" t="s">
        <v>31</v>
      </c>
      <c r="H400">
        <v>6</v>
      </c>
      <c r="I400">
        <v>89.06</v>
      </c>
      <c r="J400">
        <v>0</v>
      </c>
      <c r="K400">
        <v>534.36</v>
      </c>
      <c r="L400">
        <v>143.36000000000001</v>
      </c>
      <c r="M400">
        <v>860.16000000000008</v>
      </c>
      <c r="N400">
        <v>29</v>
      </c>
      <c r="O400" t="s">
        <v>19</v>
      </c>
      <c r="P400" t="s">
        <v>51</v>
      </c>
    </row>
    <row r="401" spans="1:16">
      <c r="A401">
        <v>101155</v>
      </c>
      <c r="B401" s="4">
        <v>45908</v>
      </c>
      <c r="C401" t="s">
        <v>679</v>
      </c>
      <c r="D401" t="s">
        <v>87</v>
      </c>
      <c r="E401" t="s">
        <v>25</v>
      </c>
      <c r="F401" t="s">
        <v>1241</v>
      </c>
      <c r="G401" t="s">
        <v>18</v>
      </c>
      <c r="H401">
        <v>2</v>
      </c>
      <c r="I401">
        <v>78.760000000000005</v>
      </c>
      <c r="J401">
        <v>20</v>
      </c>
      <c r="K401">
        <v>126.02</v>
      </c>
      <c r="L401">
        <v>38.71</v>
      </c>
      <c r="M401">
        <v>77.42</v>
      </c>
      <c r="N401">
        <v>36</v>
      </c>
      <c r="O401" t="s">
        <v>26</v>
      </c>
      <c r="P401" t="s">
        <v>27</v>
      </c>
    </row>
    <row r="402" spans="1:16">
      <c r="A402">
        <v>100477</v>
      </c>
      <c r="B402" s="4">
        <v>45386</v>
      </c>
      <c r="C402" t="s">
        <v>451</v>
      </c>
      <c r="D402" t="s">
        <v>100</v>
      </c>
      <c r="E402" t="s">
        <v>25</v>
      </c>
      <c r="F402" t="s">
        <v>1239</v>
      </c>
      <c r="G402" t="s">
        <v>18</v>
      </c>
      <c r="H402">
        <v>2</v>
      </c>
      <c r="I402">
        <v>123.83</v>
      </c>
      <c r="J402">
        <v>0</v>
      </c>
      <c r="K402">
        <v>247.66</v>
      </c>
      <c r="L402">
        <v>75.69</v>
      </c>
      <c r="M402">
        <v>151.38</v>
      </c>
      <c r="N402">
        <v>33</v>
      </c>
      <c r="O402" t="s">
        <v>19</v>
      </c>
      <c r="P402" t="s">
        <v>35</v>
      </c>
    </row>
    <row r="403" spans="1:16">
      <c r="A403">
        <v>101094</v>
      </c>
      <c r="B403" s="4">
        <v>45562</v>
      </c>
      <c r="C403" t="s">
        <v>452</v>
      </c>
      <c r="D403" t="s">
        <v>70</v>
      </c>
      <c r="E403" t="s">
        <v>25</v>
      </c>
      <c r="F403" t="s">
        <v>1241</v>
      </c>
      <c r="G403" t="s">
        <v>48</v>
      </c>
      <c r="H403">
        <v>4</v>
      </c>
      <c r="I403">
        <v>129.38</v>
      </c>
      <c r="J403">
        <v>0</v>
      </c>
      <c r="K403">
        <v>517.52</v>
      </c>
      <c r="L403">
        <v>124.13</v>
      </c>
      <c r="M403">
        <v>496.52</v>
      </c>
      <c r="N403">
        <v>18</v>
      </c>
      <c r="O403" t="s">
        <v>26</v>
      </c>
      <c r="P403" t="s">
        <v>27</v>
      </c>
    </row>
    <row r="404" spans="1:16">
      <c r="A404">
        <v>100182</v>
      </c>
      <c r="B404" s="4">
        <v>45056</v>
      </c>
      <c r="C404" t="s">
        <v>453</v>
      </c>
      <c r="D404" t="s">
        <v>24</v>
      </c>
      <c r="E404" t="s">
        <v>25</v>
      </c>
      <c r="F404" t="s">
        <v>1237</v>
      </c>
      <c r="G404" t="s">
        <v>18</v>
      </c>
      <c r="H404">
        <v>3</v>
      </c>
      <c r="I404">
        <v>99.33</v>
      </c>
      <c r="J404">
        <v>20</v>
      </c>
      <c r="K404">
        <v>238.39</v>
      </c>
      <c r="L404">
        <v>76.849999999999994</v>
      </c>
      <c r="M404">
        <v>230.54999999999998</v>
      </c>
      <c r="N404">
        <v>39</v>
      </c>
      <c r="O404" t="s">
        <v>19</v>
      </c>
      <c r="P404" t="s">
        <v>81</v>
      </c>
    </row>
    <row r="405" spans="1:16">
      <c r="A405">
        <v>101091</v>
      </c>
      <c r="B405" s="4">
        <v>45288</v>
      </c>
      <c r="C405" t="s">
        <v>454</v>
      </c>
      <c r="D405" t="s">
        <v>24</v>
      </c>
      <c r="E405" t="s">
        <v>25</v>
      </c>
      <c r="F405" t="s">
        <v>1237</v>
      </c>
      <c r="G405" t="s">
        <v>31</v>
      </c>
      <c r="H405">
        <v>3</v>
      </c>
      <c r="I405">
        <v>97.04</v>
      </c>
      <c r="J405">
        <v>10</v>
      </c>
      <c r="K405">
        <v>262.01</v>
      </c>
      <c r="L405">
        <v>102.99</v>
      </c>
      <c r="M405">
        <v>308.96999999999997</v>
      </c>
      <c r="N405">
        <v>22</v>
      </c>
      <c r="O405" t="s">
        <v>122</v>
      </c>
      <c r="P405" t="s">
        <v>20</v>
      </c>
    </row>
    <row r="406" spans="1:16">
      <c r="A406">
        <v>100234</v>
      </c>
      <c r="B406" s="4">
        <v>45884</v>
      </c>
      <c r="C406" t="s">
        <v>675</v>
      </c>
      <c r="D406" t="s">
        <v>24</v>
      </c>
      <c r="E406" t="s">
        <v>25</v>
      </c>
      <c r="F406" t="s">
        <v>1238</v>
      </c>
      <c r="G406" t="s">
        <v>18</v>
      </c>
      <c r="H406">
        <v>2</v>
      </c>
      <c r="I406">
        <v>97.39</v>
      </c>
      <c r="J406">
        <v>0</v>
      </c>
      <c r="K406">
        <v>194.78</v>
      </c>
      <c r="L406">
        <v>58.41</v>
      </c>
      <c r="M406">
        <v>116.82</v>
      </c>
      <c r="N406">
        <v>18</v>
      </c>
      <c r="O406" t="s">
        <v>26</v>
      </c>
      <c r="P406" t="s">
        <v>35</v>
      </c>
    </row>
    <row r="407" spans="1:16">
      <c r="A407">
        <v>100587</v>
      </c>
      <c r="B407" s="4">
        <v>45455</v>
      </c>
      <c r="C407" t="s">
        <v>674</v>
      </c>
      <c r="D407" t="s">
        <v>70</v>
      </c>
      <c r="E407" t="s">
        <v>25</v>
      </c>
      <c r="F407" t="s">
        <v>1238</v>
      </c>
      <c r="G407" t="s">
        <v>48</v>
      </c>
      <c r="H407">
        <v>2</v>
      </c>
      <c r="I407">
        <v>159.36000000000001</v>
      </c>
      <c r="J407">
        <v>20</v>
      </c>
      <c r="K407">
        <v>254.98</v>
      </c>
      <c r="L407">
        <v>91.92</v>
      </c>
      <c r="M407">
        <v>183.84</v>
      </c>
      <c r="N407">
        <v>27</v>
      </c>
      <c r="O407" t="s">
        <v>19</v>
      </c>
      <c r="P407" t="s">
        <v>20</v>
      </c>
    </row>
    <row r="408" spans="1:16">
      <c r="A408">
        <v>100701</v>
      </c>
      <c r="B408" s="4">
        <v>45640</v>
      </c>
      <c r="C408" t="s">
        <v>670</v>
      </c>
      <c r="D408" t="s">
        <v>68</v>
      </c>
      <c r="E408" t="s">
        <v>25</v>
      </c>
      <c r="F408" t="s">
        <v>1239</v>
      </c>
      <c r="G408" t="s">
        <v>31</v>
      </c>
      <c r="H408">
        <v>5</v>
      </c>
      <c r="I408">
        <v>246.47</v>
      </c>
      <c r="J408">
        <v>5</v>
      </c>
      <c r="K408">
        <v>1170.73</v>
      </c>
      <c r="L408">
        <v>364.43</v>
      </c>
      <c r="M408">
        <v>1822.15</v>
      </c>
      <c r="N408">
        <v>30</v>
      </c>
      <c r="O408" t="s">
        <v>19</v>
      </c>
      <c r="P408" t="s">
        <v>20</v>
      </c>
    </row>
    <row r="409" spans="1:16">
      <c r="A409">
        <v>100239</v>
      </c>
      <c r="B409" s="4">
        <v>44995</v>
      </c>
      <c r="C409" t="s">
        <v>458</v>
      </c>
      <c r="D409" t="s">
        <v>87</v>
      </c>
      <c r="E409" t="s">
        <v>25</v>
      </c>
      <c r="F409" t="s">
        <v>1238</v>
      </c>
      <c r="G409" t="s">
        <v>31</v>
      </c>
      <c r="H409">
        <v>5</v>
      </c>
      <c r="I409">
        <v>76.77</v>
      </c>
      <c r="J409">
        <v>0</v>
      </c>
      <c r="K409">
        <v>383.85</v>
      </c>
      <c r="L409">
        <v>117.01</v>
      </c>
      <c r="M409">
        <v>585.05000000000007</v>
      </c>
      <c r="N409">
        <v>24</v>
      </c>
      <c r="O409" t="s">
        <v>19</v>
      </c>
      <c r="P409" t="s">
        <v>51</v>
      </c>
    </row>
    <row r="410" spans="1:16">
      <c r="A410">
        <v>100968</v>
      </c>
      <c r="B410" s="4">
        <v>45461</v>
      </c>
      <c r="C410" t="s">
        <v>669</v>
      </c>
      <c r="D410" t="s">
        <v>39</v>
      </c>
      <c r="E410" t="s">
        <v>25</v>
      </c>
      <c r="F410" t="s">
        <v>1238</v>
      </c>
      <c r="G410" t="s">
        <v>64</v>
      </c>
      <c r="H410">
        <v>4</v>
      </c>
      <c r="I410">
        <v>172.75</v>
      </c>
      <c r="J410">
        <v>5</v>
      </c>
      <c r="K410">
        <v>656.45</v>
      </c>
      <c r="L410">
        <v>191.99</v>
      </c>
      <c r="M410">
        <v>767.96</v>
      </c>
      <c r="N410">
        <v>32</v>
      </c>
      <c r="O410" t="s">
        <v>26</v>
      </c>
      <c r="P410" t="s">
        <v>46</v>
      </c>
    </row>
    <row r="411" spans="1:16">
      <c r="A411">
        <v>101058</v>
      </c>
      <c r="B411" s="4">
        <v>45800</v>
      </c>
      <c r="C411" t="s">
        <v>666</v>
      </c>
      <c r="D411" t="s">
        <v>24</v>
      </c>
      <c r="E411" t="s">
        <v>25</v>
      </c>
      <c r="F411" t="s">
        <v>1238</v>
      </c>
      <c r="G411" t="s">
        <v>31</v>
      </c>
      <c r="H411">
        <v>4</v>
      </c>
      <c r="I411">
        <v>88.34</v>
      </c>
      <c r="J411">
        <v>20</v>
      </c>
      <c r="K411">
        <v>282.69</v>
      </c>
      <c r="L411">
        <v>73.42</v>
      </c>
      <c r="M411">
        <v>293.68</v>
      </c>
      <c r="N411">
        <v>29</v>
      </c>
      <c r="O411" t="s">
        <v>26</v>
      </c>
      <c r="P411" t="s">
        <v>35</v>
      </c>
    </row>
    <row r="412" spans="1:16">
      <c r="A412">
        <v>100169</v>
      </c>
      <c r="B412" s="4">
        <v>45235</v>
      </c>
      <c r="C412" t="s">
        <v>665</v>
      </c>
      <c r="D412" t="s">
        <v>87</v>
      </c>
      <c r="E412" t="s">
        <v>25</v>
      </c>
      <c r="F412" t="s">
        <v>1238</v>
      </c>
      <c r="G412" t="s">
        <v>31</v>
      </c>
      <c r="H412">
        <v>2</v>
      </c>
      <c r="I412">
        <v>79.33</v>
      </c>
      <c r="J412">
        <v>10</v>
      </c>
      <c r="K412">
        <v>142.79</v>
      </c>
      <c r="L412">
        <v>45.82</v>
      </c>
      <c r="M412">
        <v>91.64</v>
      </c>
      <c r="N412">
        <v>33</v>
      </c>
      <c r="O412" t="s">
        <v>26</v>
      </c>
      <c r="P412" t="s">
        <v>27</v>
      </c>
    </row>
    <row r="413" spans="1:16">
      <c r="A413">
        <v>100485</v>
      </c>
      <c r="B413" s="4">
        <v>45036</v>
      </c>
      <c r="C413" t="s">
        <v>462</v>
      </c>
      <c r="D413" t="s">
        <v>68</v>
      </c>
      <c r="E413" t="s">
        <v>25</v>
      </c>
      <c r="F413" t="s">
        <v>1237</v>
      </c>
      <c r="G413" t="s">
        <v>18</v>
      </c>
      <c r="H413">
        <v>3</v>
      </c>
      <c r="I413">
        <v>211.95</v>
      </c>
      <c r="J413">
        <v>5</v>
      </c>
      <c r="K413">
        <v>604.05999999999995</v>
      </c>
      <c r="L413">
        <v>172.89</v>
      </c>
      <c r="M413">
        <v>518.66999999999996</v>
      </c>
      <c r="N413">
        <v>37</v>
      </c>
      <c r="O413" t="s">
        <v>26</v>
      </c>
      <c r="P413" t="s">
        <v>43</v>
      </c>
    </row>
    <row r="414" spans="1:16">
      <c r="A414">
        <v>100700</v>
      </c>
      <c r="B414" s="4">
        <v>45016</v>
      </c>
      <c r="C414" t="s">
        <v>463</v>
      </c>
      <c r="D414" t="s">
        <v>24</v>
      </c>
      <c r="E414" t="s">
        <v>25</v>
      </c>
      <c r="F414" t="s">
        <v>1241</v>
      </c>
      <c r="G414" t="s">
        <v>64</v>
      </c>
      <c r="H414">
        <v>5</v>
      </c>
      <c r="I414">
        <v>89.74</v>
      </c>
      <c r="J414">
        <v>5</v>
      </c>
      <c r="K414">
        <v>426.26</v>
      </c>
      <c r="L414">
        <v>85.91</v>
      </c>
      <c r="M414">
        <v>429.54999999999995</v>
      </c>
      <c r="N414">
        <v>28</v>
      </c>
      <c r="O414" t="s">
        <v>26</v>
      </c>
      <c r="P414" t="s">
        <v>35</v>
      </c>
    </row>
    <row r="415" spans="1:16">
      <c r="A415">
        <v>101103</v>
      </c>
      <c r="B415" s="4">
        <v>45769</v>
      </c>
      <c r="C415" t="s">
        <v>664</v>
      </c>
      <c r="D415" t="s">
        <v>39</v>
      </c>
      <c r="E415" t="s">
        <v>25</v>
      </c>
      <c r="F415" t="s">
        <v>1239</v>
      </c>
      <c r="G415" t="s">
        <v>18</v>
      </c>
      <c r="H415">
        <v>5</v>
      </c>
      <c r="I415">
        <v>200.05</v>
      </c>
      <c r="J415">
        <v>0</v>
      </c>
      <c r="K415">
        <v>1000.25</v>
      </c>
      <c r="L415">
        <v>230.51</v>
      </c>
      <c r="M415">
        <v>1152.55</v>
      </c>
      <c r="N415">
        <v>26</v>
      </c>
      <c r="O415" t="s">
        <v>19</v>
      </c>
      <c r="P415" t="s">
        <v>35</v>
      </c>
    </row>
    <row r="416" spans="1:16">
      <c r="A416">
        <v>100193</v>
      </c>
      <c r="B416" s="4">
        <v>45441</v>
      </c>
      <c r="C416" t="s">
        <v>663</v>
      </c>
      <c r="D416" t="s">
        <v>42</v>
      </c>
      <c r="E416" t="s">
        <v>25</v>
      </c>
      <c r="F416" t="s">
        <v>1237</v>
      </c>
      <c r="G416" t="s">
        <v>18</v>
      </c>
      <c r="H416">
        <v>4</v>
      </c>
      <c r="I416">
        <v>172.16</v>
      </c>
      <c r="J416">
        <v>0</v>
      </c>
      <c r="K416">
        <v>688.64</v>
      </c>
      <c r="L416">
        <v>193.87</v>
      </c>
      <c r="M416">
        <v>775.48</v>
      </c>
      <c r="N416">
        <v>31</v>
      </c>
      <c r="O416" t="s">
        <v>19</v>
      </c>
      <c r="P416" t="s">
        <v>43</v>
      </c>
    </row>
    <row r="417" spans="1:16">
      <c r="A417">
        <v>100028</v>
      </c>
      <c r="B417" s="4">
        <v>45536</v>
      </c>
      <c r="C417" t="s">
        <v>661</v>
      </c>
      <c r="D417" t="s">
        <v>24</v>
      </c>
      <c r="E417" t="s">
        <v>25</v>
      </c>
      <c r="F417" t="s">
        <v>1241</v>
      </c>
      <c r="G417" t="s">
        <v>18</v>
      </c>
      <c r="H417">
        <v>5</v>
      </c>
      <c r="I417">
        <v>92.53</v>
      </c>
      <c r="J417">
        <v>0</v>
      </c>
      <c r="K417">
        <v>462.65</v>
      </c>
      <c r="L417">
        <v>134.03</v>
      </c>
      <c r="M417">
        <v>670.15</v>
      </c>
      <c r="N417">
        <v>34</v>
      </c>
      <c r="O417" t="s">
        <v>19</v>
      </c>
      <c r="P417" t="s">
        <v>51</v>
      </c>
    </row>
    <row r="418" spans="1:16">
      <c r="A418">
        <v>100339</v>
      </c>
      <c r="B418" s="4">
        <v>45198</v>
      </c>
      <c r="C418" t="s">
        <v>466</v>
      </c>
      <c r="D418" t="s">
        <v>87</v>
      </c>
      <c r="E418" t="s">
        <v>25</v>
      </c>
      <c r="F418" t="s">
        <v>1237</v>
      </c>
      <c r="G418" t="s">
        <v>18</v>
      </c>
      <c r="H418">
        <v>3</v>
      </c>
      <c r="I418">
        <v>81.069999999999993</v>
      </c>
      <c r="J418">
        <v>10</v>
      </c>
      <c r="K418">
        <v>218.89</v>
      </c>
      <c r="L418">
        <v>63.91</v>
      </c>
      <c r="M418">
        <v>191.73</v>
      </c>
      <c r="N418">
        <v>35</v>
      </c>
      <c r="O418" t="s">
        <v>19</v>
      </c>
      <c r="P418" t="s">
        <v>81</v>
      </c>
    </row>
    <row r="419" spans="1:16">
      <c r="A419">
        <v>100164</v>
      </c>
      <c r="B419" s="4">
        <v>45708</v>
      </c>
      <c r="C419" t="s">
        <v>660</v>
      </c>
      <c r="D419" t="s">
        <v>42</v>
      </c>
      <c r="E419" t="s">
        <v>25</v>
      </c>
      <c r="F419" t="s">
        <v>1239</v>
      </c>
      <c r="G419" t="s">
        <v>18</v>
      </c>
      <c r="H419">
        <v>1</v>
      </c>
      <c r="I419">
        <v>168.43</v>
      </c>
      <c r="J419">
        <v>40</v>
      </c>
      <c r="K419">
        <v>101.06</v>
      </c>
      <c r="L419">
        <v>40.479999999999997</v>
      </c>
      <c r="M419">
        <v>40.479999999999997</v>
      </c>
      <c r="N419">
        <v>16</v>
      </c>
      <c r="O419" t="s">
        <v>26</v>
      </c>
      <c r="P419" t="s">
        <v>51</v>
      </c>
    </row>
    <row r="420" spans="1:16">
      <c r="A420">
        <v>100551</v>
      </c>
      <c r="B420" s="4">
        <v>45738</v>
      </c>
      <c r="C420" t="s">
        <v>468</v>
      </c>
      <c r="D420" t="s">
        <v>42</v>
      </c>
      <c r="E420" t="s">
        <v>25</v>
      </c>
      <c r="F420" t="s">
        <v>1238</v>
      </c>
      <c r="G420" t="s">
        <v>31</v>
      </c>
      <c r="H420">
        <v>5</v>
      </c>
      <c r="I420">
        <v>160.13</v>
      </c>
      <c r="J420">
        <v>0</v>
      </c>
      <c r="K420">
        <v>800.65</v>
      </c>
      <c r="L420">
        <v>202.21</v>
      </c>
      <c r="M420">
        <v>1011.0500000000001</v>
      </c>
      <c r="N420">
        <v>43</v>
      </c>
      <c r="O420" t="s">
        <v>26</v>
      </c>
      <c r="P420" t="s">
        <v>46</v>
      </c>
    </row>
    <row r="421" spans="1:16">
      <c r="A421">
        <v>100495</v>
      </c>
      <c r="B421" s="4">
        <v>45158</v>
      </c>
      <c r="C421" t="s">
        <v>657</v>
      </c>
      <c r="D421" t="s">
        <v>100</v>
      </c>
      <c r="E421" t="s">
        <v>25</v>
      </c>
      <c r="F421" t="s">
        <v>1238</v>
      </c>
      <c r="G421" t="s">
        <v>18</v>
      </c>
      <c r="H421">
        <v>4</v>
      </c>
      <c r="I421">
        <v>122.85</v>
      </c>
      <c r="J421">
        <v>0</v>
      </c>
      <c r="K421">
        <v>491.4</v>
      </c>
      <c r="L421">
        <v>152.88</v>
      </c>
      <c r="M421">
        <v>611.52</v>
      </c>
      <c r="N421">
        <v>26</v>
      </c>
      <c r="O421" t="s">
        <v>26</v>
      </c>
      <c r="P421" t="s">
        <v>35</v>
      </c>
    </row>
    <row r="422" spans="1:16">
      <c r="A422">
        <v>100918</v>
      </c>
      <c r="B422" s="4">
        <v>45102</v>
      </c>
      <c r="C422" t="s">
        <v>656</v>
      </c>
      <c r="D422" t="s">
        <v>87</v>
      </c>
      <c r="E422" t="s">
        <v>25</v>
      </c>
      <c r="F422" t="s">
        <v>1241</v>
      </c>
      <c r="G422" t="s">
        <v>48</v>
      </c>
      <c r="H422">
        <v>3</v>
      </c>
      <c r="I422">
        <v>73.52</v>
      </c>
      <c r="J422">
        <v>0</v>
      </c>
      <c r="K422">
        <v>220.56</v>
      </c>
      <c r="L422">
        <v>53.82</v>
      </c>
      <c r="M422">
        <v>161.46</v>
      </c>
      <c r="N422">
        <v>18</v>
      </c>
      <c r="O422" t="s">
        <v>19</v>
      </c>
      <c r="P422" t="s">
        <v>81</v>
      </c>
    </row>
    <row r="423" spans="1:16">
      <c r="A423">
        <v>100665</v>
      </c>
      <c r="B423" s="4">
        <v>45494</v>
      </c>
      <c r="C423" t="s">
        <v>655</v>
      </c>
      <c r="D423" t="s">
        <v>70</v>
      </c>
      <c r="E423" t="s">
        <v>25</v>
      </c>
      <c r="F423" t="s">
        <v>1237</v>
      </c>
      <c r="G423" t="s">
        <v>18</v>
      </c>
      <c r="H423">
        <v>2</v>
      </c>
      <c r="I423">
        <v>151.47999999999999</v>
      </c>
      <c r="J423">
        <v>0</v>
      </c>
      <c r="K423">
        <v>302.95999999999998</v>
      </c>
      <c r="L423">
        <v>94.41</v>
      </c>
      <c r="M423">
        <v>188.82</v>
      </c>
      <c r="N423">
        <v>23</v>
      </c>
      <c r="O423" t="s">
        <v>26</v>
      </c>
      <c r="P423" t="s">
        <v>27</v>
      </c>
    </row>
    <row r="424" spans="1:16">
      <c r="A424">
        <v>101019</v>
      </c>
      <c r="B424" s="4">
        <v>45859</v>
      </c>
      <c r="C424" t="s">
        <v>653</v>
      </c>
      <c r="D424" t="s">
        <v>39</v>
      </c>
      <c r="E424" t="s">
        <v>25</v>
      </c>
      <c r="F424" t="s">
        <v>1237</v>
      </c>
      <c r="G424" t="s">
        <v>31</v>
      </c>
      <c r="H424">
        <v>2</v>
      </c>
      <c r="I424">
        <v>166.26</v>
      </c>
      <c r="J424">
        <v>0</v>
      </c>
      <c r="K424">
        <v>332.52</v>
      </c>
      <c r="L424">
        <v>103.33</v>
      </c>
      <c r="M424">
        <v>206.66</v>
      </c>
      <c r="N424">
        <v>36</v>
      </c>
      <c r="O424" t="s">
        <v>26</v>
      </c>
      <c r="P424" t="s">
        <v>81</v>
      </c>
    </row>
    <row r="425" spans="1:16">
      <c r="A425">
        <v>100706</v>
      </c>
      <c r="B425" s="4">
        <v>45786</v>
      </c>
      <c r="C425" t="s">
        <v>473</v>
      </c>
      <c r="D425" t="s">
        <v>68</v>
      </c>
      <c r="E425" t="s">
        <v>25</v>
      </c>
      <c r="F425" t="s">
        <v>1241</v>
      </c>
      <c r="G425" t="s">
        <v>64</v>
      </c>
      <c r="H425">
        <v>2</v>
      </c>
      <c r="I425">
        <v>203.8</v>
      </c>
      <c r="J425">
        <v>20</v>
      </c>
      <c r="K425">
        <v>326.08</v>
      </c>
      <c r="L425">
        <v>89.79</v>
      </c>
      <c r="M425">
        <v>179.58</v>
      </c>
      <c r="N425">
        <v>22</v>
      </c>
      <c r="O425" t="s">
        <v>19</v>
      </c>
      <c r="P425" t="s">
        <v>46</v>
      </c>
    </row>
    <row r="426" spans="1:16">
      <c r="A426">
        <v>100326</v>
      </c>
      <c r="B426" s="4">
        <v>45188</v>
      </c>
      <c r="C426" t="s">
        <v>652</v>
      </c>
      <c r="D426" t="s">
        <v>87</v>
      </c>
      <c r="E426" t="s">
        <v>25</v>
      </c>
      <c r="F426" t="s">
        <v>1237</v>
      </c>
      <c r="G426" t="s">
        <v>18</v>
      </c>
      <c r="H426">
        <v>3</v>
      </c>
      <c r="I426">
        <v>91.04</v>
      </c>
      <c r="J426">
        <v>0</v>
      </c>
      <c r="K426">
        <v>273.12</v>
      </c>
      <c r="L426">
        <v>74.739999999999995</v>
      </c>
      <c r="M426">
        <v>224.21999999999997</v>
      </c>
      <c r="N426">
        <v>32</v>
      </c>
      <c r="O426" t="s">
        <v>19</v>
      </c>
      <c r="P426" t="s">
        <v>81</v>
      </c>
    </row>
    <row r="427" spans="1:16">
      <c r="A427">
        <v>101132</v>
      </c>
      <c r="B427" s="4">
        <v>45837</v>
      </c>
      <c r="C427" t="s">
        <v>651</v>
      </c>
      <c r="D427" t="s">
        <v>70</v>
      </c>
      <c r="E427" t="s">
        <v>25</v>
      </c>
      <c r="F427" t="s">
        <v>1241</v>
      </c>
      <c r="G427" t="s">
        <v>18</v>
      </c>
      <c r="H427">
        <v>2</v>
      </c>
      <c r="I427">
        <v>150.02000000000001</v>
      </c>
      <c r="J427">
        <v>0</v>
      </c>
      <c r="K427">
        <v>300.04000000000002</v>
      </c>
      <c r="L427">
        <v>113.01</v>
      </c>
      <c r="M427">
        <v>226.02</v>
      </c>
      <c r="N427">
        <v>41</v>
      </c>
      <c r="O427" t="s">
        <v>19</v>
      </c>
      <c r="P427" t="s">
        <v>43</v>
      </c>
    </row>
    <row r="428" spans="1:16">
      <c r="A428">
        <v>100768</v>
      </c>
      <c r="B428" s="4">
        <v>45150</v>
      </c>
      <c r="C428" t="s">
        <v>476</v>
      </c>
      <c r="D428" t="s">
        <v>68</v>
      </c>
      <c r="E428" t="s">
        <v>25</v>
      </c>
      <c r="F428" t="s">
        <v>1241</v>
      </c>
      <c r="G428" t="s">
        <v>18</v>
      </c>
      <c r="H428">
        <v>3</v>
      </c>
      <c r="I428">
        <v>238.57</v>
      </c>
      <c r="J428">
        <v>10</v>
      </c>
      <c r="K428">
        <v>644.14</v>
      </c>
      <c r="L428">
        <v>187.22</v>
      </c>
      <c r="M428">
        <v>561.66</v>
      </c>
      <c r="N428">
        <v>39</v>
      </c>
      <c r="O428" t="s">
        <v>26</v>
      </c>
      <c r="P428" t="s">
        <v>81</v>
      </c>
    </row>
    <row r="429" spans="1:16">
      <c r="A429">
        <v>100869</v>
      </c>
      <c r="B429" s="4">
        <v>44931</v>
      </c>
      <c r="C429" t="s">
        <v>477</v>
      </c>
      <c r="D429" t="s">
        <v>39</v>
      </c>
      <c r="E429" t="s">
        <v>25</v>
      </c>
      <c r="F429" t="s">
        <v>1238</v>
      </c>
      <c r="G429" t="s">
        <v>48</v>
      </c>
      <c r="H429">
        <v>4</v>
      </c>
      <c r="I429">
        <v>179.15</v>
      </c>
      <c r="J429">
        <v>0</v>
      </c>
      <c r="K429">
        <v>716.6</v>
      </c>
      <c r="L429">
        <v>314.19</v>
      </c>
      <c r="M429">
        <v>1256.76</v>
      </c>
      <c r="N429">
        <v>25</v>
      </c>
      <c r="O429" t="s">
        <v>19</v>
      </c>
      <c r="P429" t="s">
        <v>32</v>
      </c>
    </row>
    <row r="430" spans="1:16">
      <c r="A430">
        <v>100761</v>
      </c>
      <c r="B430" s="4">
        <v>45807</v>
      </c>
      <c r="C430" t="s">
        <v>478</v>
      </c>
      <c r="D430" t="s">
        <v>24</v>
      </c>
      <c r="E430" t="s">
        <v>25</v>
      </c>
      <c r="F430" t="s">
        <v>1239</v>
      </c>
      <c r="G430" t="s">
        <v>18</v>
      </c>
      <c r="H430">
        <v>3</v>
      </c>
      <c r="I430">
        <v>107.31</v>
      </c>
      <c r="J430">
        <v>0</v>
      </c>
      <c r="K430">
        <v>321.93</v>
      </c>
      <c r="L430">
        <v>90.73</v>
      </c>
      <c r="M430">
        <v>272.19</v>
      </c>
      <c r="N430">
        <v>16</v>
      </c>
      <c r="O430" t="s">
        <v>26</v>
      </c>
      <c r="P430" t="s">
        <v>35</v>
      </c>
    </row>
    <row r="431" spans="1:16">
      <c r="A431">
        <v>100450</v>
      </c>
      <c r="B431" s="4">
        <v>45568</v>
      </c>
      <c r="C431" t="s">
        <v>638</v>
      </c>
      <c r="D431" t="s">
        <v>24</v>
      </c>
      <c r="E431" t="s">
        <v>25</v>
      </c>
      <c r="F431" t="s">
        <v>1237</v>
      </c>
      <c r="G431" t="s">
        <v>18</v>
      </c>
      <c r="H431">
        <v>1</v>
      </c>
      <c r="I431">
        <v>89.51</v>
      </c>
      <c r="J431">
        <v>20</v>
      </c>
      <c r="K431">
        <v>71.61</v>
      </c>
      <c r="L431">
        <v>22.12</v>
      </c>
      <c r="M431">
        <v>22.12</v>
      </c>
      <c r="N431">
        <v>29</v>
      </c>
      <c r="O431" t="s">
        <v>19</v>
      </c>
      <c r="P431" t="s">
        <v>27</v>
      </c>
    </row>
    <row r="432" spans="1:16">
      <c r="A432">
        <v>100475</v>
      </c>
      <c r="B432" s="4">
        <v>45176</v>
      </c>
      <c r="C432" t="s">
        <v>594</v>
      </c>
      <c r="D432" t="s">
        <v>70</v>
      </c>
      <c r="E432" t="s">
        <v>25</v>
      </c>
      <c r="F432" t="s">
        <v>1237</v>
      </c>
      <c r="G432" t="s">
        <v>18</v>
      </c>
      <c r="H432">
        <v>2</v>
      </c>
      <c r="I432">
        <v>161.02000000000001</v>
      </c>
      <c r="J432">
        <v>10</v>
      </c>
      <c r="K432">
        <v>289.83999999999997</v>
      </c>
      <c r="L432">
        <v>76.67</v>
      </c>
      <c r="M432">
        <v>153.34</v>
      </c>
      <c r="N432">
        <v>19</v>
      </c>
      <c r="O432" t="s">
        <v>26</v>
      </c>
      <c r="P432" t="s">
        <v>35</v>
      </c>
    </row>
    <row r="433" spans="1:16">
      <c r="A433">
        <v>100165</v>
      </c>
      <c r="B433" s="4">
        <v>45879</v>
      </c>
      <c r="C433" t="s">
        <v>481</v>
      </c>
      <c r="D433" t="s">
        <v>39</v>
      </c>
      <c r="E433" t="s">
        <v>25</v>
      </c>
      <c r="F433" t="s">
        <v>1238</v>
      </c>
      <c r="G433" t="s">
        <v>18</v>
      </c>
      <c r="H433">
        <v>3</v>
      </c>
      <c r="I433">
        <v>161.88999999999999</v>
      </c>
      <c r="J433">
        <v>5</v>
      </c>
      <c r="K433">
        <v>461.39</v>
      </c>
      <c r="L433">
        <v>126.48</v>
      </c>
      <c r="M433">
        <v>379.44</v>
      </c>
      <c r="N433">
        <v>31</v>
      </c>
      <c r="O433" t="s">
        <v>26</v>
      </c>
      <c r="P433" t="s">
        <v>27</v>
      </c>
    </row>
    <row r="434" spans="1:16">
      <c r="A434">
        <v>100248</v>
      </c>
      <c r="B434" s="4">
        <v>45237</v>
      </c>
      <c r="C434" t="s">
        <v>482</v>
      </c>
      <c r="D434" t="s">
        <v>39</v>
      </c>
      <c r="E434" t="s">
        <v>25</v>
      </c>
      <c r="F434" t="s">
        <v>1241</v>
      </c>
      <c r="G434" t="s">
        <v>31</v>
      </c>
      <c r="H434">
        <v>2</v>
      </c>
      <c r="I434">
        <v>200.02</v>
      </c>
      <c r="J434">
        <v>20</v>
      </c>
      <c r="K434">
        <v>320.02999999999997</v>
      </c>
      <c r="L434">
        <v>104.93</v>
      </c>
      <c r="M434">
        <v>209.86</v>
      </c>
      <c r="N434">
        <v>21</v>
      </c>
      <c r="O434" t="s">
        <v>19</v>
      </c>
      <c r="P434" t="s">
        <v>46</v>
      </c>
    </row>
    <row r="435" spans="1:16">
      <c r="A435">
        <v>101133</v>
      </c>
      <c r="B435" s="4">
        <v>45044</v>
      </c>
      <c r="C435" t="s">
        <v>634</v>
      </c>
      <c r="D435" t="s">
        <v>42</v>
      </c>
      <c r="E435" t="s">
        <v>25</v>
      </c>
      <c r="F435" t="s">
        <v>1238</v>
      </c>
      <c r="G435" t="s">
        <v>18</v>
      </c>
      <c r="H435">
        <v>4</v>
      </c>
      <c r="I435">
        <v>173.06</v>
      </c>
      <c r="J435">
        <v>0</v>
      </c>
      <c r="K435">
        <v>692.24</v>
      </c>
      <c r="L435">
        <v>210.25</v>
      </c>
      <c r="M435">
        <v>841</v>
      </c>
      <c r="N435">
        <v>38</v>
      </c>
      <c r="O435" t="s">
        <v>26</v>
      </c>
      <c r="P435" t="s">
        <v>51</v>
      </c>
    </row>
    <row r="436" spans="1:16">
      <c r="A436">
        <v>100447</v>
      </c>
      <c r="B436" s="4">
        <v>45501</v>
      </c>
      <c r="C436" t="s">
        <v>484</v>
      </c>
      <c r="D436" t="s">
        <v>39</v>
      </c>
      <c r="E436" t="s">
        <v>25</v>
      </c>
      <c r="F436" t="s">
        <v>1238</v>
      </c>
      <c r="G436" t="s">
        <v>18</v>
      </c>
      <c r="H436">
        <v>2</v>
      </c>
      <c r="I436">
        <v>181.12</v>
      </c>
      <c r="J436">
        <v>10</v>
      </c>
      <c r="K436">
        <v>326.02</v>
      </c>
      <c r="L436">
        <v>122.48</v>
      </c>
      <c r="M436">
        <v>244.96</v>
      </c>
      <c r="N436">
        <v>25</v>
      </c>
      <c r="O436" t="s">
        <v>19</v>
      </c>
      <c r="P436" t="s">
        <v>51</v>
      </c>
    </row>
    <row r="437" spans="1:16">
      <c r="A437">
        <v>100000</v>
      </c>
      <c r="B437" s="4">
        <v>45581</v>
      </c>
      <c r="C437" t="s">
        <v>632</v>
      </c>
      <c r="D437" t="s">
        <v>87</v>
      </c>
      <c r="E437" t="s">
        <v>25</v>
      </c>
      <c r="F437" t="s">
        <v>1241</v>
      </c>
      <c r="G437" t="s">
        <v>18</v>
      </c>
      <c r="H437">
        <v>3</v>
      </c>
      <c r="I437">
        <v>88.38</v>
      </c>
      <c r="J437">
        <v>10</v>
      </c>
      <c r="K437">
        <v>238.63</v>
      </c>
      <c r="L437">
        <v>69.94</v>
      </c>
      <c r="M437">
        <v>209.82</v>
      </c>
      <c r="N437">
        <v>32</v>
      </c>
      <c r="O437" t="s">
        <v>19</v>
      </c>
      <c r="P437" t="s">
        <v>27</v>
      </c>
    </row>
    <row r="438" spans="1:16">
      <c r="A438">
        <v>100334</v>
      </c>
      <c r="B438" s="4">
        <v>45911</v>
      </c>
      <c r="C438" t="s">
        <v>486</v>
      </c>
      <c r="D438" t="s">
        <v>70</v>
      </c>
      <c r="E438" t="s">
        <v>25</v>
      </c>
      <c r="F438" t="s">
        <v>1241</v>
      </c>
      <c r="G438" t="s">
        <v>18</v>
      </c>
      <c r="H438">
        <v>1</v>
      </c>
      <c r="I438">
        <v>150.91</v>
      </c>
      <c r="J438">
        <v>0</v>
      </c>
      <c r="K438">
        <v>150.91</v>
      </c>
      <c r="L438">
        <v>33.19</v>
      </c>
      <c r="M438">
        <v>33.19</v>
      </c>
      <c r="N438">
        <v>27</v>
      </c>
      <c r="O438" t="s">
        <v>26</v>
      </c>
      <c r="P438" t="s">
        <v>51</v>
      </c>
    </row>
    <row r="439" spans="1:16">
      <c r="A439">
        <v>100285</v>
      </c>
      <c r="B439" s="4">
        <v>45234</v>
      </c>
      <c r="C439" t="s">
        <v>487</v>
      </c>
      <c r="D439" t="s">
        <v>70</v>
      </c>
      <c r="E439" t="s">
        <v>25</v>
      </c>
      <c r="F439" t="s">
        <v>1241</v>
      </c>
      <c r="G439" t="s">
        <v>48</v>
      </c>
      <c r="H439">
        <v>3</v>
      </c>
      <c r="I439">
        <v>157.11000000000001</v>
      </c>
      <c r="J439">
        <v>0</v>
      </c>
      <c r="K439">
        <v>471.33</v>
      </c>
      <c r="L439">
        <v>167.7</v>
      </c>
      <c r="M439">
        <v>503.09999999999997</v>
      </c>
      <c r="N439">
        <v>24</v>
      </c>
      <c r="O439" t="s">
        <v>19</v>
      </c>
      <c r="P439" t="s">
        <v>35</v>
      </c>
    </row>
    <row r="440" spans="1:16">
      <c r="A440">
        <v>100386</v>
      </c>
      <c r="B440" s="4">
        <v>45693</v>
      </c>
      <c r="C440" t="s">
        <v>631</v>
      </c>
      <c r="D440" t="s">
        <v>24</v>
      </c>
      <c r="E440" t="s">
        <v>25</v>
      </c>
      <c r="F440" t="s">
        <v>1238</v>
      </c>
      <c r="G440" t="s">
        <v>18</v>
      </c>
      <c r="H440">
        <v>2</v>
      </c>
      <c r="I440">
        <v>90</v>
      </c>
      <c r="J440">
        <v>5</v>
      </c>
      <c r="K440">
        <v>171</v>
      </c>
      <c r="L440">
        <v>48.7</v>
      </c>
      <c r="M440">
        <v>97.4</v>
      </c>
      <c r="N440">
        <v>26</v>
      </c>
      <c r="O440" t="s">
        <v>19</v>
      </c>
      <c r="P440" t="s">
        <v>51</v>
      </c>
    </row>
    <row r="441" spans="1:16">
      <c r="A441">
        <v>100876</v>
      </c>
      <c r="B441" s="4">
        <v>45690</v>
      </c>
      <c r="C441" t="s">
        <v>627</v>
      </c>
      <c r="D441" t="s">
        <v>24</v>
      </c>
      <c r="E441" t="s">
        <v>25</v>
      </c>
      <c r="F441" t="s">
        <v>1240</v>
      </c>
      <c r="G441" t="s">
        <v>48</v>
      </c>
      <c r="H441">
        <v>2</v>
      </c>
      <c r="I441">
        <v>101.82</v>
      </c>
      <c r="J441">
        <v>10</v>
      </c>
      <c r="K441">
        <v>183.28</v>
      </c>
      <c r="L441">
        <v>65.34</v>
      </c>
      <c r="M441">
        <v>130.68</v>
      </c>
      <c r="N441">
        <v>24</v>
      </c>
      <c r="O441" t="s">
        <v>19</v>
      </c>
      <c r="P441" t="s">
        <v>20</v>
      </c>
    </row>
    <row r="442" spans="1:16">
      <c r="A442">
        <v>100707</v>
      </c>
      <c r="B442" s="4">
        <v>45115</v>
      </c>
      <c r="C442" t="s">
        <v>620</v>
      </c>
      <c r="D442" t="s">
        <v>73</v>
      </c>
      <c r="E442" t="s">
        <v>25</v>
      </c>
      <c r="F442" t="s">
        <v>1241</v>
      </c>
      <c r="G442" t="s">
        <v>18</v>
      </c>
      <c r="H442">
        <v>1</v>
      </c>
      <c r="I442">
        <v>35.89</v>
      </c>
      <c r="J442">
        <v>0</v>
      </c>
      <c r="K442">
        <v>35.89</v>
      </c>
      <c r="L442">
        <v>11.09</v>
      </c>
      <c r="M442">
        <v>11.09</v>
      </c>
      <c r="N442">
        <v>40</v>
      </c>
      <c r="O442" t="s">
        <v>26</v>
      </c>
      <c r="P442" t="s">
        <v>43</v>
      </c>
    </row>
    <row r="443" spans="1:16">
      <c r="A443">
        <v>101036</v>
      </c>
      <c r="B443" s="4">
        <v>45417</v>
      </c>
      <c r="C443" t="s">
        <v>491</v>
      </c>
      <c r="D443" t="s">
        <v>70</v>
      </c>
      <c r="E443" t="s">
        <v>25</v>
      </c>
      <c r="F443" t="s">
        <v>1237</v>
      </c>
      <c r="G443" t="s">
        <v>18</v>
      </c>
      <c r="H443">
        <v>5</v>
      </c>
      <c r="I443">
        <v>165.79</v>
      </c>
      <c r="J443">
        <v>0</v>
      </c>
      <c r="K443">
        <v>828.95</v>
      </c>
      <c r="L443">
        <v>257.41000000000003</v>
      </c>
      <c r="M443">
        <v>1287.0500000000002</v>
      </c>
      <c r="N443">
        <v>29</v>
      </c>
      <c r="O443" t="s">
        <v>26</v>
      </c>
      <c r="P443" t="s">
        <v>20</v>
      </c>
    </row>
    <row r="444" spans="1:16">
      <c r="A444">
        <v>100591</v>
      </c>
      <c r="B444" s="4">
        <v>45020</v>
      </c>
      <c r="C444" t="s">
        <v>619</v>
      </c>
      <c r="D444" t="s">
        <v>87</v>
      </c>
      <c r="E444" t="s">
        <v>25</v>
      </c>
      <c r="F444" t="s">
        <v>1237</v>
      </c>
      <c r="G444" t="s">
        <v>18</v>
      </c>
      <c r="H444">
        <v>4</v>
      </c>
      <c r="I444">
        <v>85.74</v>
      </c>
      <c r="J444">
        <v>0</v>
      </c>
      <c r="K444">
        <v>342.96</v>
      </c>
      <c r="L444">
        <v>95.02</v>
      </c>
      <c r="M444">
        <v>380.08</v>
      </c>
      <c r="N444">
        <v>24</v>
      </c>
      <c r="O444" t="s">
        <v>19</v>
      </c>
      <c r="P444" t="s">
        <v>35</v>
      </c>
    </row>
    <row r="445" spans="1:16">
      <c r="A445">
        <v>100148</v>
      </c>
      <c r="B445" s="4">
        <v>45377</v>
      </c>
      <c r="C445" t="s">
        <v>618</v>
      </c>
      <c r="D445" t="s">
        <v>24</v>
      </c>
      <c r="E445" t="s">
        <v>25</v>
      </c>
      <c r="F445" t="s">
        <v>1237</v>
      </c>
      <c r="G445" t="s">
        <v>31</v>
      </c>
      <c r="H445">
        <v>4</v>
      </c>
      <c r="I445">
        <v>99.25</v>
      </c>
      <c r="J445">
        <v>5</v>
      </c>
      <c r="K445">
        <v>377.15</v>
      </c>
      <c r="L445">
        <v>133.53</v>
      </c>
      <c r="M445">
        <v>534.12</v>
      </c>
      <c r="N445">
        <v>33</v>
      </c>
      <c r="O445" t="s">
        <v>19</v>
      </c>
      <c r="P445" t="s">
        <v>43</v>
      </c>
    </row>
    <row r="446" spans="1:16">
      <c r="A446">
        <v>100944</v>
      </c>
      <c r="B446" s="4">
        <v>45311</v>
      </c>
      <c r="C446" t="s">
        <v>494</v>
      </c>
      <c r="D446" t="s">
        <v>73</v>
      </c>
      <c r="E446" t="s">
        <v>25</v>
      </c>
      <c r="F446" t="s">
        <v>1241</v>
      </c>
      <c r="G446" t="s">
        <v>31</v>
      </c>
      <c r="H446">
        <v>3</v>
      </c>
      <c r="I446">
        <v>37.57</v>
      </c>
      <c r="J446">
        <v>0</v>
      </c>
      <c r="K446">
        <v>112.71</v>
      </c>
      <c r="L446">
        <v>45.41</v>
      </c>
      <c r="M446">
        <v>136.22999999999999</v>
      </c>
      <c r="N446">
        <v>28</v>
      </c>
      <c r="O446" t="s">
        <v>122</v>
      </c>
      <c r="P446" t="s">
        <v>46</v>
      </c>
    </row>
    <row r="447" spans="1:16">
      <c r="A447">
        <v>100613</v>
      </c>
      <c r="B447" s="4">
        <v>45445</v>
      </c>
      <c r="C447" t="s">
        <v>495</v>
      </c>
      <c r="D447" t="s">
        <v>39</v>
      </c>
      <c r="E447" t="s">
        <v>25</v>
      </c>
      <c r="F447" t="s">
        <v>1239</v>
      </c>
      <c r="G447" t="s">
        <v>18</v>
      </c>
      <c r="H447">
        <v>1</v>
      </c>
      <c r="I447">
        <v>169.09</v>
      </c>
      <c r="J447">
        <v>0</v>
      </c>
      <c r="K447">
        <v>169.09</v>
      </c>
      <c r="L447">
        <v>60.62</v>
      </c>
      <c r="M447">
        <v>60.62</v>
      </c>
      <c r="N447">
        <v>31</v>
      </c>
      <c r="O447" t="s">
        <v>26</v>
      </c>
      <c r="P447" t="s">
        <v>46</v>
      </c>
    </row>
    <row r="448" spans="1:16">
      <c r="A448">
        <v>100228</v>
      </c>
      <c r="B448" s="4">
        <v>45303</v>
      </c>
      <c r="C448" t="s">
        <v>614</v>
      </c>
      <c r="D448" t="s">
        <v>100</v>
      </c>
      <c r="E448" t="s">
        <v>25</v>
      </c>
      <c r="F448" t="s">
        <v>1240</v>
      </c>
      <c r="G448" t="s">
        <v>31</v>
      </c>
      <c r="H448">
        <v>3</v>
      </c>
      <c r="I448">
        <v>142.54</v>
      </c>
      <c r="J448">
        <v>20</v>
      </c>
      <c r="K448">
        <v>342.1</v>
      </c>
      <c r="L448">
        <v>109.2</v>
      </c>
      <c r="M448">
        <v>327.60000000000002</v>
      </c>
      <c r="N448">
        <v>18</v>
      </c>
      <c r="O448" t="s">
        <v>26</v>
      </c>
      <c r="P448" t="s">
        <v>43</v>
      </c>
    </row>
    <row r="449" spans="1:16">
      <c r="A449">
        <v>100757</v>
      </c>
      <c r="B449" s="4">
        <v>45206</v>
      </c>
      <c r="C449" t="s">
        <v>497</v>
      </c>
      <c r="D449" t="s">
        <v>24</v>
      </c>
      <c r="E449" t="s">
        <v>25</v>
      </c>
      <c r="F449" t="s">
        <v>1238</v>
      </c>
      <c r="G449" t="s">
        <v>18</v>
      </c>
      <c r="H449">
        <v>3</v>
      </c>
      <c r="I449">
        <v>91.85</v>
      </c>
      <c r="J449">
        <v>0</v>
      </c>
      <c r="K449">
        <v>275.55</v>
      </c>
      <c r="L449">
        <v>101.54</v>
      </c>
      <c r="M449">
        <v>304.62</v>
      </c>
      <c r="N449">
        <v>16</v>
      </c>
      <c r="O449" t="s">
        <v>26</v>
      </c>
      <c r="P449" t="s">
        <v>27</v>
      </c>
    </row>
    <row r="450" spans="1:16">
      <c r="A450">
        <v>100688</v>
      </c>
      <c r="B450" s="4">
        <v>45809</v>
      </c>
      <c r="C450" t="s">
        <v>498</v>
      </c>
      <c r="D450" t="s">
        <v>73</v>
      </c>
      <c r="E450" t="s">
        <v>25</v>
      </c>
      <c r="F450" t="s">
        <v>1239</v>
      </c>
      <c r="G450" t="s">
        <v>18</v>
      </c>
      <c r="H450">
        <v>3</v>
      </c>
      <c r="I450">
        <v>32.26</v>
      </c>
      <c r="J450">
        <v>0</v>
      </c>
      <c r="K450">
        <v>96.78</v>
      </c>
      <c r="L450">
        <v>35.840000000000003</v>
      </c>
      <c r="M450">
        <v>107.52000000000001</v>
      </c>
      <c r="N450">
        <v>37</v>
      </c>
      <c r="O450" t="s">
        <v>19</v>
      </c>
      <c r="P450" t="s">
        <v>51</v>
      </c>
    </row>
    <row r="451" spans="1:16">
      <c r="A451">
        <v>100440</v>
      </c>
      <c r="B451" s="4">
        <v>45636</v>
      </c>
      <c r="C451" t="s">
        <v>611</v>
      </c>
      <c r="D451" t="s">
        <v>70</v>
      </c>
      <c r="E451" t="s">
        <v>25</v>
      </c>
      <c r="F451" t="s">
        <v>1238</v>
      </c>
      <c r="G451" t="s">
        <v>64</v>
      </c>
      <c r="H451">
        <v>4</v>
      </c>
      <c r="I451">
        <v>147.13999999999999</v>
      </c>
      <c r="J451">
        <v>0</v>
      </c>
      <c r="K451">
        <v>588.55999999999995</v>
      </c>
      <c r="L451">
        <v>184.48</v>
      </c>
      <c r="M451">
        <v>737.92</v>
      </c>
      <c r="N451">
        <v>21</v>
      </c>
      <c r="O451" t="s">
        <v>19</v>
      </c>
      <c r="P451" t="s">
        <v>43</v>
      </c>
    </row>
    <row r="452" spans="1:16">
      <c r="A452">
        <v>100793</v>
      </c>
      <c r="B452" s="4">
        <v>45162</v>
      </c>
      <c r="C452" t="s">
        <v>500</v>
      </c>
      <c r="D452" t="s">
        <v>42</v>
      </c>
      <c r="E452" t="s">
        <v>25</v>
      </c>
      <c r="F452" t="s">
        <v>1241</v>
      </c>
      <c r="G452" t="s">
        <v>31</v>
      </c>
      <c r="H452">
        <v>2</v>
      </c>
      <c r="I452">
        <v>166.46</v>
      </c>
      <c r="J452">
        <v>10</v>
      </c>
      <c r="K452">
        <v>299.63</v>
      </c>
      <c r="L452">
        <v>111.39</v>
      </c>
      <c r="M452">
        <v>222.78</v>
      </c>
      <c r="N452">
        <v>27</v>
      </c>
      <c r="O452" t="s">
        <v>26</v>
      </c>
      <c r="P452" t="s">
        <v>46</v>
      </c>
    </row>
    <row r="453" spans="1:16">
      <c r="A453">
        <v>101140</v>
      </c>
      <c r="B453" s="4">
        <v>45336</v>
      </c>
      <c r="C453" t="s">
        <v>610</v>
      </c>
      <c r="D453" t="s">
        <v>24</v>
      </c>
      <c r="E453" t="s">
        <v>25</v>
      </c>
      <c r="F453" t="s">
        <v>1238</v>
      </c>
      <c r="G453" t="s">
        <v>31</v>
      </c>
      <c r="H453">
        <v>4</v>
      </c>
      <c r="I453">
        <v>89.18</v>
      </c>
      <c r="J453">
        <v>0</v>
      </c>
      <c r="K453">
        <v>356.72</v>
      </c>
      <c r="L453">
        <v>105.33</v>
      </c>
      <c r="M453">
        <v>421.32</v>
      </c>
      <c r="N453">
        <v>30</v>
      </c>
      <c r="O453" t="s">
        <v>26</v>
      </c>
      <c r="P453" t="s">
        <v>46</v>
      </c>
    </row>
    <row r="454" spans="1:16">
      <c r="A454">
        <v>100567</v>
      </c>
      <c r="B454" s="4">
        <v>45684</v>
      </c>
      <c r="C454" t="s">
        <v>502</v>
      </c>
      <c r="D454" t="s">
        <v>70</v>
      </c>
      <c r="E454" t="s">
        <v>25</v>
      </c>
      <c r="F454" t="s">
        <v>1237</v>
      </c>
      <c r="G454" t="s">
        <v>18</v>
      </c>
      <c r="H454">
        <v>3</v>
      </c>
      <c r="I454">
        <v>150.63999999999999</v>
      </c>
      <c r="J454">
        <v>20</v>
      </c>
      <c r="K454">
        <v>361.54</v>
      </c>
      <c r="L454">
        <v>91.06</v>
      </c>
      <c r="M454">
        <v>273.18</v>
      </c>
      <c r="N454">
        <v>28</v>
      </c>
      <c r="O454" t="s">
        <v>19</v>
      </c>
      <c r="P454" t="s">
        <v>20</v>
      </c>
    </row>
    <row r="455" spans="1:16">
      <c r="A455">
        <v>100731</v>
      </c>
      <c r="B455" s="4">
        <v>45407</v>
      </c>
      <c r="C455" t="s">
        <v>608</v>
      </c>
      <c r="D455" t="s">
        <v>87</v>
      </c>
      <c r="E455" t="s">
        <v>25</v>
      </c>
      <c r="F455" t="s">
        <v>1241</v>
      </c>
      <c r="G455" t="s">
        <v>18</v>
      </c>
      <c r="H455">
        <v>2</v>
      </c>
      <c r="I455">
        <v>96.02</v>
      </c>
      <c r="J455">
        <v>0</v>
      </c>
      <c r="K455">
        <v>192.04</v>
      </c>
      <c r="L455">
        <v>56.49</v>
      </c>
      <c r="M455">
        <v>112.98</v>
      </c>
      <c r="N455">
        <v>43</v>
      </c>
      <c r="O455" t="s">
        <v>26</v>
      </c>
      <c r="P455" t="s">
        <v>27</v>
      </c>
    </row>
    <row r="456" spans="1:16">
      <c r="A456">
        <v>101098</v>
      </c>
      <c r="B456" s="4">
        <v>45392</v>
      </c>
      <c r="C456" t="s">
        <v>504</v>
      </c>
      <c r="D456" t="s">
        <v>70</v>
      </c>
      <c r="E456" t="s">
        <v>25</v>
      </c>
      <c r="F456" t="s">
        <v>1240</v>
      </c>
      <c r="G456" t="s">
        <v>18</v>
      </c>
      <c r="H456">
        <v>3</v>
      </c>
      <c r="I456">
        <v>146.38999999999999</v>
      </c>
      <c r="J456">
        <v>0</v>
      </c>
      <c r="K456">
        <v>439.17</v>
      </c>
      <c r="L456">
        <v>117.89</v>
      </c>
      <c r="M456">
        <v>353.67</v>
      </c>
      <c r="N456">
        <v>18</v>
      </c>
      <c r="O456" t="s">
        <v>26</v>
      </c>
      <c r="P456" t="s">
        <v>81</v>
      </c>
    </row>
    <row r="457" spans="1:16">
      <c r="A457">
        <v>100890</v>
      </c>
      <c r="B457" s="4">
        <v>45243</v>
      </c>
      <c r="C457" t="s">
        <v>602</v>
      </c>
      <c r="D457" t="s">
        <v>100</v>
      </c>
      <c r="E457" t="s">
        <v>25</v>
      </c>
      <c r="F457" t="s">
        <v>1238</v>
      </c>
      <c r="G457" t="s">
        <v>18</v>
      </c>
      <c r="H457">
        <v>1</v>
      </c>
      <c r="I457">
        <v>136.99</v>
      </c>
      <c r="J457">
        <v>5</v>
      </c>
      <c r="K457">
        <v>130.13999999999999</v>
      </c>
      <c r="L457">
        <v>41.54</v>
      </c>
      <c r="M457">
        <v>41.54</v>
      </c>
      <c r="N457">
        <v>32</v>
      </c>
      <c r="O457" t="s">
        <v>19</v>
      </c>
      <c r="P457" t="s">
        <v>35</v>
      </c>
    </row>
    <row r="458" spans="1:16">
      <c r="A458">
        <v>100254</v>
      </c>
      <c r="B458" s="4">
        <v>45463</v>
      </c>
      <c r="C458" t="s">
        <v>506</v>
      </c>
      <c r="D458" t="s">
        <v>70</v>
      </c>
      <c r="E458" t="s">
        <v>25</v>
      </c>
      <c r="F458" t="s">
        <v>1241</v>
      </c>
      <c r="G458" t="s">
        <v>48</v>
      </c>
      <c r="H458">
        <v>5</v>
      </c>
      <c r="I458">
        <v>145.34</v>
      </c>
      <c r="J458">
        <v>0</v>
      </c>
      <c r="K458">
        <v>726.7</v>
      </c>
      <c r="L458">
        <v>224.2</v>
      </c>
      <c r="M458">
        <v>1121</v>
      </c>
      <c r="N458">
        <v>33</v>
      </c>
      <c r="O458" t="s">
        <v>26</v>
      </c>
      <c r="P458" t="s">
        <v>81</v>
      </c>
    </row>
    <row r="459" spans="1:16">
      <c r="A459">
        <v>100829</v>
      </c>
      <c r="B459" s="4">
        <v>45052</v>
      </c>
      <c r="C459" t="s">
        <v>600</v>
      </c>
      <c r="D459" t="s">
        <v>73</v>
      </c>
      <c r="E459" t="s">
        <v>25</v>
      </c>
      <c r="F459" t="s">
        <v>1238</v>
      </c>
      <c r="G459" t="s">
        <v>31</v>
      </c>
      <c r="H459">
        <v>2</v>
      </c>
      <c r="I459">
        <v>33.950000000000003</v>
      </c>
      <c r="J459">
        <v>5</v>
      </c>
      <c r="K459">
        <v>64.5</v>
      </c>
      <c r="L459">
        <v>22.58</v>
      </c>
      <c r="M459">
        <v>45.16</v>
      </c>
      <c r="N459">
        <v>32</v>
      </c>
      <c r="O459" t="s">
        <v>26</v>
      </c>
      <c r="P459" t="s">
        <v>46</v>
      </c>
    </row>
    <row r="460" spans="1:16">
      <c r="A460">
        <v>100704</v>
      </c>
      <c r="B460" s="4">
        <v>45507</v>
      </c>
      <c r="C460" t="s">
        <v>599</v>
      </c>
      <c r="D460" t="s">
        <v>68</v>
      </c>
      <c r="E460" t="s">
        <v>25</v>
      </c>
      <c r="F460" t="s">
        <v>1238</v>
      </c>
      <c r="G460" t="s">
        <v>31</v>
      </c>
      <c r="H460">
        <v>2</v>
      </c>
      <c r="I460">
        <v>224.14</v>
      </c>
      <c r="J460">
        <v>0</v>
      </c>
      <c r="K460">
        <v>448.28</v>
      </c>
      <c r="L460">
        <v>104.77</v>
      </c>
      <c r="M460">
        <v>209.54</v>
      </c>
      <c r="N460">
        <v>37</v>
      </c>
      <c r="O460" t="s">
        <v>26</v>
      </c>
      <c r="P460" t="s">
        <v>43</v>
      </c>
    </row>
    <row r="461" spans="1:16">
      <c r="A461">
        <v>101194</v>
      </c>
      <c r="B461" s="4">
        <v>45034</v>
      </c>
      <c r="C461" t="s">
        <v>593</v>
      </c>
      <c r="D461" t="s">
        <v>42</v>
      </c>
      <c r="E461" t="s">
        <v>25</v>
      </c>
      <c r="F461" t="s">
        <v>1238</v>
      </c>
      <c r="G461" t="s">
        <v>64</v>
      </c>
      <c r="H461">
        <v>3</v>
      </c>
      <c r="I461">
        <v>171.62</v>
      </c>
      <c r="J461">
        <v>0</v>
      </c>
      <c r="K461">
        <v>514.86</v>
      </c>
      <c r="L461">
        <v>167.49</v>
      </c>
      <c r="M461">
        <v>502.47</v>
      </c>
      <c r="N461">
        <v>28</v>
      </c>
      <c r="O461" t="s">
        <v>19</v>
      </c>
      <c r="P461" t="s">
        <v>81</v>
      </c>
    </row>
    <row r="462" spans="1:16">
      <c r="A462">
        <v>101158</v>
      </c>
      <c r="B462" s="4">
        <v>45442</v>
      </c>
      <c r="C462" t="s">
        <v>590</v>
      </c>
      <c r="D462" t="s">
        <v>100</v>
      </c>
      <c r="E462" t="s">
        <v>25</v>
      </c>
      <c r="F462" t="s">
        <v>1238</v>
      </c>
      <c r="G462" t="s">
        <v>48</v>
      </c>
      <c r="H462">
        <v>2</v>
      </c>
      <c r="I462">
        <v>133.51</v>
      </c>
      <c r="J462">
        <v>5</v>
      </c>
      <c r="K462">
        <v>253.67</v>
      </c>
      <c r="L462">
        <v>72.760000000000005</v>
      </c>
      <c r="M462">
        <v>145.52000000000001</v>
      </c>
      <c r="N462">
        <v>42</v>
      </c>
      <c r="O462" t="s">
        <v>26</v>
      </c>
      <c r="P462" t="s">
        <v>43</v>
      </c>
    </row>
    <row r="463" spans="1:16">
      <c r="A463">
        <v>100501</v>
      </c>
      <c r="B463" s="4">
        <v>45437</v>
      </c>
      <c r="C463" t="s">
        <v>586</v>
      </c>
      <c r="D463" t="s">
        <v>73</v>
      </c>
      <c r="E463" t="s">
        <v>25</v>
      </c>
      <c r="F463" t="s">
        <v>1241</v>
      </c>
      <c r="G463" t="s">
        <v>18</v>
      </c>
      <c r="H463">
        <v>2</v>
      </c>
      <c r="I463">
        <v>36.380000000000003</v>
      </c>
      <c r="J463">
        <v>20</v>
      </c>
      <c r="K463">
        <v>58.21</v>
      </c>
      <c r="L463">
        <v>13.87</v>
      </c>
      <c r="M463">
        <v>27.74</v>
      </c>
      <c r="N463">
        <v>39</v>
      </c>
      <c r="O463" t="s">
        <v>26</v>
      </c>
      <c r="P463" t="s">
        <v>51</v>
      </c>
    </row>
    <row r="464" spans="1:16">
      <c r="A464">
        <v>100388</v>
      </c>
      <c r="B464" s="4">
        <v>45589</v>
      </c>
      <c r="C464" t="s">
        <v>512</v>
      </c>
      <c r="D464" t="s">
        <v>42</v>
      </c>
      <c r="E464" t="s">
        <v>25</v>
      </c>
      <c r="F464" t="s">
        <v>1241</v>
      </c>
      <c r="G464" t="s">
        <v>18</v>
      </c>
      <c r="H464">
        <v>2</v>
      </c>
      <c r="I464">
        <v>180.08</v>
      </c>
      <c r="J464">
        <v>0</v>
      </c>
      <c r="K464">
        <v>360.16</v>
      </c>
      <c r="L464">
        <v>84.13</v>
      </c>
      <c r="M464">
        <v>168.26</v>
      </c>
      <c r="N464">
        <v>34</v>
      </c>
      <c r="O464" t="s">
        <v>19</v>
      </c>
      <c r="P464" t="s">
        <v>20</v>
      </c>
    </row>
    <row r="465" spans="1:16">
      <c r="A465">
        <v>100144</v>
      </c>
      <c r="B465" s="4">
        <v>45374</v>
      </c>
      <c r="C465" t="s">
        <v>585</v>
      </c>
      <c r="D465" t="s">
        <v>87</v>
      </c>
      <c r="E465" t="s">
        <v>25</v>
      </c>
      <c r="F465" t="s">
        <v>1237</v>
      </c>
      <c r="G465" t="s">
        <v>31</v>
      </c>
      <c r="H465">
        <v>3</v>
      </c>
      <c r="I465">
        <v>102.41</v>
      </c>
      <c r="J465">
        <v>20</v>
      </c>
      <c r="K465">
        <v>245.78</v>
      </c>
      <c r="L465">
        <v>72.55</v>
      </c>
      <c r="M465">
        <v>217.64999999999998</v>
      </c>
      <c r="N465">
        <v>31</v>
      </c>
      <c r="O465" t="s">
        <v>26</v>
      </c>
      <c r="P465" t="s">
        <v>20</v>
      </c>
    </row>
    <row r="466" spans="1:16">
      <c r="A466">
        <v>100965</v>
      </c>
      <c r="B466" s="4">
        <v>45117</v>
      </c>
      <c r="C466" t="s">
        <v>582</v>
      </c>
      <c r="D466" t="s">
        <v>73</v>
      </c>
      <c r="E466" t="s">
        <v>25</v>
      </c>
      <c r="F466" t="s">
        <v>1241</v>
      </c>
      <c r="G466" t="s">
        <v>31</v>
      </c>
      <c r="H466">
        <v>5</v>
      </c>
      <c r="I466">
        <v>34.409999999999997</v>
      </c>
      <c r="J466">
        <v>10</v>
      </c>
      <c r="K466">
        <v>154.84</v>
      </c>
      <c r="L466">
        <v>46.15</v>
      </c>
      <c r="M466">
        <v>230.75</v>
      </c>
      <c r="N466">
        <v>16</v>
      </c>
      <c r="O466" t="s">
        <v>26</v>
      </c>
      <c r="P466" t="s">
        <v>32</v>
      </c>
    </row>
    <row r="467" spans="1:16">
      <c r="A467">
        <v>100482</v>
      </c>
      <c r="B467" s="4">
        <v>45306</v>
      </c>
      <c r="C467" t="s">
        <v>515</v>
      </c>
      <c r="D467" t="s">
        <v>70</v>
      </c>
      <c r="E467" t="s">
        <v>25</v>
      </c>
      <c r="F467" t="s">
        <v>1238</v>
      </c>
      <c r="G467" t="s">
        <v>64</v>
      </c>
      <c r="H467">
        <v>3</v>
      </c>
      <c r="I467">
        <v>181.45</v>
      </c>
      <c r="J467">
        <v>0</v>
      </c>
      <c r="K467">
        <v>544.35</v>
      </c>
      <c r="L467">
        <v>133.04</v>
      </c>
      <c r="M467">
        <v>399.12</v>
      </c>
      <c r="N467">
        <v>39</v>
      </c>
      <c r="O467" t="s">
        <v>26</v>
      </c>
      <c r="P467" t="s">
        <v>32</v>
      </c>
    </row>
    <row r="468" spans="1:16">
      <c r="A468">
        <v>100712</v>
      </c>
      <c r="B468" s="4">
        <v>44950</v>
      </c>
      <c r="C468" t="s">
        <v>516</v>
      </c>
      <c r="D468" t="s">
        <v>24</v>
      </c>
      <c r="E468" t="s">
        <v>25</v>
      </c>
      <c r="F468" t="s">
        <v>1238</v>
      </c>
      <c r="G468" t="s">
        <v>31</v>
      </c>
      <c r="H468">
        <v>1</v>
      </c>
      <c r="I468">
        <v>96.24</v>
      </c>
      <c r="J468">
        <v>0</v>
      </c>
      <c r="K468">
        <v>96.24</v>
      </c>
      <c r="L468">
        <v>23.12</v>
      </c>
      <c r="M468">
        <v>23.12</v>
      </c>
      <c r="N468">
        <v>19</v>
      </c>
      <c r="O468" t="s">
        <v>26</v>
      </c>
      <c r="P468" t="s">
        <v>32</v>
      </c>
    </row>
    <row r="469" spans="1:16">
      <c r="A469">
        <v>100873</v>
      </c>
      <c r="B469" s="4">
        <v>45762</v>
      </c>
      <c r="C469" t="s">
        <v>580</v>
      </c>
      <c r="D469" t="s">
        <v>100</v>
      </c>
      <c r="E469" t="s">
        <v>25</v>
      </c>
      <c r="F469" t="s">
        <v>1237</v>
      </c>
      <c r="G469" t="s">
        <v>18</v>
      </c>
      <c r="H469">
        <v>5</v>
      </c>
      <c r="I469">
        <v>117.95</v>
      </c>
      <c r="J469">
        <v>0</v>
      </c>
      <c r="K469">
        <v>589.75</v>
      </c>
      <c r="L469">
        <v>196.16</v>
      </c>
      <c r="M469">
        <v>980.8</v>
      </c>
      <c r="N469">
        <v>16</v>
      </c>
      <c r="O469" t="s">
        <v>122</v>
      </c>
      <c r="P469" t="s">
        <v>43</v>
      </c>
    </row>
    <row r="470" spans="1:16">
      <c r="A470">
        <v>101110</v>
      </c>
      <c r="B470" s="4">
        <v>45016</v>
      </c>
      <c r="C470" t="s">
        <v>518</v>
      </c>
      <c r="D470" t="s">
        <v>87</v>
      </c>
      <c r="E470" t="s">
        <v>25</v>
      </c>
      <c r="F470" t="s">
        <v>1241</v>
      </c>
      <c r="G470" t="s">
        <v>64</v>
      </c>
      <c r="H470">
        <v>1</v>
      </c>
      <c r="I470">
        <v>93.52</v>
      </c>
      <c r="J470">
        <v>10</v>
      </c>
      <c r="K470">
        <v>84.17</v>
      </c>
      <c r="L470">
        <v>25.93</v>
      </c>
      <c r="M470">
        <v>25.93</v>
      </c>
      <c r="N470">
        <v>31</v>
      </c>
      <c r="O470" t="s">
        <v>26</v>
      </c>
      <c r="P470" t="s">
        <v>27</v>
      </c>
    </row>
    <row r="471" spans="1:16">
      <c r="A471">
        <v>101089</v>
      </c>
      <c r="B471" s="4">
        <v>45552</v>
      </c>
      <c r="C471" t="s">
        <v>519</v>
      </c>
      <c r="D471" t="s">
        <v>100</v>
      </c>
      <c r="E471" t="s">
        <v>25</v>
      </c>
      <c r="F471" t="s">
        <v>1241</v>
      </c>
      <c r="G471" t="s">
        <v>31</v>
      </c>
      <c r="H471">
        <v>1</v>
      </c>
      <c r="I471">
        <v>132.69999999999999</v>
      </c>
      <c r="J471">
        <v>10</v>
      </c>
      <c r="K471">
        <v>119.43</v>
      </c>
      <c r="L471">
        <v>21.29</v>
      </c>
      <c r="M471">
        <v>21.29</v>
      </c>
      <c r="N471">
        <v>35</v>
      </c>
      <c r="O471" t="s">
        <v>26</v>
      </c>
      <c r="P471" t="s">
        <v>81</v>
      </c>
    </row>
    <row r="472" spans="1:16">
      <c r="A472">
        <v>100449</v>
      </c>
      <c r="B472" s="4">
        <v>45425</v>
      </c>
      <c r="C472" t="s">
        <v>579</v>
      </c>
      <c r="D472" t="s">
        <v>70</v>
      </c>
      <c r="E472" t="s">
        <v>25</v>
      </c>
      <c r="F472" t="s">
        <v>1237</v>
      </c>
      <c r="G472" t="s">
        <v>18</v>
      </c>
      <c r="H472">
        <v>2</v>
      </c>
      <c r="I472">
        <v>132.6</v>
      </c>
      <c r="J472">
        <v>5</v>
      </c>
      <c r="K472">
        <v>251.94</v>
      </c>
      <c r="L472">
        <v>78.19</v>
      </c>
      <c r="M472">
        <v>156.38</v>
      </c>
      <c r="N472">
        <v>30</v>
      </c>
      <c r="O472" t="s">
        <v>26</v>
      </c>
      <c r="P472" t="s">
        <v>27</v>
      </c>
    </row>
    <row r="473" spans="1:16">
      <c r="A473">
        <v>100916</v>
      </c>
      <c r="B473" s="4">
        <v>45508</v>
      </c>
      <c r="C473" t="s">
        <v>521</v>
      </c>
      <c r="D473" t="s">
        <v>70</v>
      </c>
      <c r="E473" t="s">
        <v>25</v>
      </c>
      <c r="F473" t="s">
        <v>1241</v>
      </c>
      <c r="G473" t="s">
        <v>64</v>
      </c>
      <c r="H473">
        <v>1</v>
      </c>
      <c r="I473">
        <v>152.72999999999999</v>
      </c>
      <c r="J473">
        <v>0</v>
      </c>
      <c r="K473">
        <v>152.72999999999999</v>
      </c>
      <c r="L473">
        <v>50.68</v>
      </c>
      <c r="M473">
        <v>50.68</v>
      </c>
      <c r="N473">
        <v>21</v>
      </c>
      <c r="O473" t="s">
        <v>26</v>
      </c>
      <c r="P473" t="s">
        <v>32</v>
      </c>
    </row>
    <row r="474" spans="1:16">
      <c r="A474">
        <v>100802</v>
      </c>
      <c r="B474" s="4">
        <v>45852</v>
      </c>
      <c r="C474" t="s">
        <v>575</v>
      </c>
      <c r="D474" t="s">
        <v>100</v>
      </c>
      <c r="E474" t="s">
        <v>25</v>
      </c>
      <c r="F474" t="s">
        <v>1237</v>
      </c>
      <c r="G474" t="s">
        <v>48</v>
      </c>
      <c r="H474">
        <v>1</v>
      </c>
      <c r="I474">
        <v>132.72999999999999</v>
      </c>
      <c r="J474">
        <v>10</v>
      </c>
      <c r="K474">
        <v>119.46</v>
      </c>
      <c r="L474">
        <v>32.19</v>
      </c>
      <c r="M474">
        <v>32.19</v>
      </c>
      <c r="N474">
        <v>42</v>
      </c>
      <c r="O474" t="s">
        <v>26</v>
      </c>
      <c r="P474" t="s">
        <v>46</v>
      </c>
    </row>
    <row r="475" spans="1:16">
      <c r="A475">
        <v>100118</v>
      </c>
      <c r="B475" s="4">
        <v>45597</v>
      </c>
      <c r="C475" t="s">
        <v>574</v>
      </c>
      <c r="D475" t="s">
        <v>87</v>
      </c>
      <c r="E475" t="s">
        <v>25</v>
      </c>
      <c r="F475" t="s">
        <v>1237</v>
      </c>
      <c r="G475" t="s">
        <v>64</v>
      </c>
      <c r="H475">
        <v>7</v>
      </c>
      <c r="I475">
        <v>83.62</v>
      </c>
      <c r="J475">
        <v>0</v>
      </c>
      <c r="K475">
        <v>585.34</v>
      </c>
      <c r="L475">
        <v>176.98</v>
      </c>
      <c r="M475">
        <v>1238.8599999999999</v>
      </c>
      <c r="N475">
        <v>45</v>
      </c>
      <c r="O475" t="s">
        <v>26</v>
      </c>
      <c r="P475" t="s">
        <v>43</v>
      </c>
    </row>
    <row r="476" spans="1:16">
      <c r="A476">
        <v>100373</v>
      </c>
      <c r="B476" s="4">
        <v>45104</v>
      </c>
      <c r="C476" t="s">
        <v>573</v>
      </c>
      <c r="D476" t="s">
        <v>42</v>
      </c>
      <c r="E476" t="s">
        <v>25</v>
      </c>
      <c r="F476" t="s">
        <v>1237</v>
      </c>
      <c r="G476" t="s">
        <v>18</v>
      </c>
      <c r="H476">
        <v>1</v>
      </c>
      <c r="I476">
        <v>170.96</v>
      </c>
      <c r="J476">
        <v>0</v>
      </c>
      <c r="K476">
        <v>170.96</v>
      </c>
      <c r="L476">
        <v>57.49</v>
      </c>
      <c r="M476">
        <v>57.49</v>
      </c>
      <c r="N476">
        <v>34</v>
      </c>
      <c r="O476" t="s">
        <v>26</v>
      </c>
      <c r="P476" t="s">
        <v>32</v>
      </c>
    </row>
    <row r="477" spans="1:16">
      <c r="A477">
        <v>100594</v>
      </c>
      <c r="B477" s="4">
        <v>44930</v>
      </c>
      <c r="C477" t="s">
        <v>525</v>
      </c>
      <c r="D477" t="s">
        <v>100</v>
      </c>
      <c r="E477" t="s">
        <v>25</v>
      </c>
      <c r="F477" t="s">
        <v>1241</v>
      </c>
      <c r="G477" t="s">
        <v>31</v>
      </c>
      <c r="H477">
        <v>2</v>
      </c>
      <c r="I477">
        <v>119.58</v>
      </c>
      <c r="J477">
        <v>0</v>
      </c>
      <c r="K477">
        <v>239.16</v>
      </c>
      <c r="L477">
        <v>62.75</v>
      </c>
      <c r="M477">
        <v>125.5</v>
      </c>
      <c r="N477">
        <v>37</v>
      </c>
      <c r="O477" t="s">
        <v>26</v>
      </c>
      <c r="P477" t="s">
        <v>81</v>
      </c>
    </row>
    <row r="478" spans="1:16">
      <c r="A478">
        <v>101118</v>
      </c>
      <c r="B478" s="4">
        <v>45135</v>
      </c>
      <c r="C478" t="s">
        <v>572</v>
      </c>
      <c r="D478" t="s">
        <v>24</v>
      </c>
      <c r="E478" t="s">
        <v>25</v>
      </c>
      <c r="F478" t="s">
        <v>1238</v>
      </c>
      <c r="G478" t="s">
        <v>31</v>
      </c>
      <c r="H478">
        <v>5</v>
      </c>
      <c r="I478">
        <v>95.27</v>
      </c>
      <c r="J478">
        <v>10</v>
      </c>
      <c r="K478">
        <v>428.71</v>
      </c>
      <c r="L478">
        <v>99.13</v>
      </c>
      <c r="M478">
        <v>495.65</v>
      </c>
      <c r="N478">
        <v>30</v>
      </c>
      <c r="O478" t="s">
        <v>19</v>
      </c>
      <c r="P478" t="s">
        <v>81</v>
      </c>
    </row>
    <row r="479" spans="1:16">
      <c r="A479">
        <v>100145</v>
      </c>
      <c r="B479" s="4">
        <v>45268</v>
      </c>
      <c r="C479" t="s">
        <v>571</v>
      </c>
      <c r="D479" t="s">
        <v>42</v>
      </c>
      <c r="E479" t="s">
        <v>25</v>
      </c>
      <c r="F479" t="s">
        <v>1237</v>
      </c>
      <c r="G479" t="s">
        <v>31</v>
      </c>
      <c r="H479">
        <v>4</v>
      </c>
      <c r="I479">
        <v>155.71</v>
      </c>
      <c r="J479">
        <v>10</v>
      </c>
      <c r="K479">
        <v>560.55999999999995</v>
      </c>
      <c r="L479">
        <v>182.17</v>
      </c>
      <c r="M479">
        <v>728.68</v>
      </c>
      <c r="N479">
        <v>34</v>
      </c>
      <c r="O479" t="s">
        <v>26</v>
      </c>
      <c r="P479" t="s">
        <v>43</v>
      </c>
    </row>
    <row r="480" spans="1:16">
      <c r="A480">
        <v>100545</v>
      </c>
      <c r="B480" s="4">
        <v>44971</v>
      </c>
      <c r="C480" t="s">
        <v>528</v>
      </c>
      <c r="D480" t="s">
        <v>68</v>
      </c>
      <c r="E480" t="s">
        <v>25</v>
      </c>
      <c r="F480" t="s">
        <v>1241</v>
      </c>
      <c r="G480" t="s">
        <v>18</v>
      </c>
      <c r="H480">
        <v>2</v>
      </c>
      <c r="I480">
        <v>222.43</v>
      </c>
      <c r="J480">
        <v>20</v>
      </c>
      <c r="K480">
        <v>355.89</v>
      </c>
      <c r="L480">
        <v>115.76</v>
      </c>
      <c r="M480">
        <v>231.52</v>
      </c>
      <c r="N480">
        <v>31</v>
      </c>
      <c r="O480" t="s">
        <v>26</v>
      </c>
      <c r="P480" t="s">
        <v>81</v>
      </c>
    </row>
    <row r="481" spans="1:16">
      <c r="A481">
        <v>100033</v>
      </c>
      <c r="B481" s="4">
        <v>45888</v>
      </c>
      <c r="C481" t="s">
        <v>529</v>
      </c>
      <c r="D481" t="s">
        <v>68</v>
      </c>
      <c r="E481" t="s">
        <v>25</v>
      </c>
      <c r="F481" t="s">
        <v>1239</v>
      </c>
      <c r="G481" t="s">
        <v>31</v>
      </c>
      <c r="H481">
        <v>2</v>
      </c>
      <c r="I481">
        <v>204.91</v>
      </c>
      <c r="J481">
        <v>40</v>
      </c>
      <c r="K481">
        <v>245.89</v>
      </c>
      <c r="L481">
        <v>60.6</v>
      </c>
      <c r="M481">
        <v>121.2</v>
      </c>
      <c r="N481">
        <v>33</v>
      </c>
      <c r="O481" t="s">
        <v>26</v>
      </c>
      <c r="P481" t="s">
        <v>20</v>
      </c>
    </row>
    <row r="482" spans="1:16">
      <c r="A482">
        <v>100223</v>
      </c>
      <c r="B482" s="4">
        <v>45265</v>
      </c>
      <c r="C482" t="s">
        <v>570</v>
      </c>
      <c r="D482" t="s">
        <v>42</v>
      </c>
      <c r="E482" t="s">
        <v>25</v>
      </c>
      <c r="F482" t="s">
        <v>1237</v>
      </c>
      <c r="G482" t="s">
        <v>31</v>
      </c>
      <c r="H482">
        <v>1</v>
      </c>
      <c r="I482">
        <v>167.08</v>
      </c>
      <c r="J482">
        <v>0</v>
      </c>
      <c r="K482">
        <v>167.08</v>
      </c>
      <c r="L482">
        <v>35.979999999999997</v>
      </c>
      <c r="M482">
        <v>35.979999999999997</v>
      </c>
      <c r="N482">
        <v>29</v>
      </c>
      <c r="O482" t="s">
        <v>26</v>
      </c>
      <c r="P482" t="s">
        <v>43</v>
      </c>
    </row>
    <row r="483" spans="1:16">
      <c r="A483">
        <v>100238</v>
      </c>
      <c r="B483" s="4">
        <v>45886</v>
      </c>
      <c r="C483" t="s">
        <v>424</v>
      </c>
      <c r="D483" t="s">
        <v>87</v>
      </c>
      <c r="E483" t="s">
        <v>25</v>
      </c>
      <c r="F483" t="s">
        <v>1237</v>
      </c>
      <c r="G483" t="s">
        <v>31</v>
      </c>
      <c r="H483">
        <v>4</v>
      </c>
      <c r="I483">
        <v>86.59</v>
      </c>
      <c r="J483">
        <v>10</v>
      </c>
      <c r="K483">
        <v>311.72000000000003</v>
      </c>
      <c r="L483">
        <v>69.27</v>
      </c>
      <c r="M483">
        <v>277.08</v>
      </c>
      <c r="N483">
        <v>39</v>
      </c>
      <c r="O483" t="s">
        <v>19</v>
      </c>
      <c r="P483" t="s">
        <v>81</v>
      </c>
    </row>
    <row r="484" spans="1:16">
      <c r="A484">
        <v>100448</v>
      </c>
      <c r="B484" s="4">
        <v>45317</v>
      </c>
      <c r="C484" t="s">
        <v>532</v>
      </c>
      <c r="D484" t="s">
        <v>87</v>
      </c>
      <c r="E484" t="s">
        <v>25</v>
      </c>
      <c r="F484" t="s">
        <v>1238</v>
      </c>
      <c r="G484" t="s">
        <v>18</v>
      </c>
      <c r="H484">
        <v>3</v>
      </c>
      <c r="I484">
        <v>80.63</v>
      </c>
      <c r="J484">
        <v>5</v>
      </c>
      <c r="K484">
        <v>229.8</v>
      </c>
      <c r="L484">
        <v>88.49</v>
      </c>
      <c r="M484">
        <v>265.46999999999997</v>
      </c>
      <c r="N484">
        <v>29</v>
      </c>
      <c r="O484" t="s">
        <v>19</v>
      </c>
      <c r="P484" t="s">
        <v>43</v>
      </c>
    </row>
    <row r="485" spans="1:16">
      <c r="A485">
        <v>101055</v>
      </c>
      <c r="B485" s="4">
        <v>44998</v>
      </c>
      <c r="C485" t="s">
        <v>569</v>
      </c>
      <c r="D485" t="s">
        <v>68</v>
      </c>
      <c r="E485" t="s">
        <v>25</v>
      </c>
      <c r="F485" t="s">
        <v>1241</v>
      </c>
      <c r="G485" t="s">
        <v>48</v>
      </c>
      <c r="H485">
        <v>1</v>
      </c>
      <c r="I485">
        <v>230.24</v>
      </c>
      <c r="J485">
        <v>10</v>
      </c>
      <c r="K485">
        <v>207.22</v>
      </c>
      <c r="L485">
        <v>70.31</v>
      </c>
      <c r="M485">
        <v>70.31</v>
      </c>
      <c r="N485">
        <v>25</v>
      </c>
      <c r="O485" t="s">
        <v>19</v>
      </c>
      <c r="P485" t="s">
        <v>27</v>
      </c>
    </row>
    <row r="486" spans="1:16">
      <c r="A486">
        <v>100259</v>
      </c>
      <c r="B486" s="4">
        <v>45596</v>
      </c>
      <c r="C486" t="s">
        <v>534</v>
      </c>
      <c r="D486" t="s">
        <v>70</v>
      </c>
      <c r="E486" t="s">
        <v>25</v>
      </c>
      <c r="F486" t="s">
        <v>1238</v>
      </c>
      <c r="G486" t="s">
        <v>31</v>
      </c>
      <c r="H486">
        <v>4</v>
      </c>
      <c r="I486">
        <v>149.63</v>
      </c>
      <c r="J486">
        <v>10</v>
      </c>
      <c r="K486">
        <v>538.66999999999996</v>
      </c>
      <c r="L486">
        <v>129.47</v>
      </c>
      <c r="M486">
        <v>517.88</v>
      </c>
      <c r="N486">
        <v>29</v>
      </c>
      <c r="O486" t="s">
        <v>26</v>
      </c>
      <c r="P486" t="s">
        <v>81</v>
      </c>
    </row>
    <row r="487" spans="1:16">
      <c r="A487">
        <v>100281</v>
      </c>
      <c r="B487" s="4">
        <v>45035</v>
      </c>
      <c r="C487" t="s">
        <v>568</v>
      </c>
      <c r="D487" t="s">
        <v>39</v>
      </c>
      <c r="E487" t="s">
        <v>25</v>
      </c>
      <c r="F487" t="s">
        <v>1241</v>
      </c>
      <c r="G487" t="s">
        <v>31</v>
      </c>
      <c r="H487">
        <v>4</v>
      </c>
      <c r="I487">
        <v>174.63</v>
      </c>
      <c r="J487">
        <v>10</v>
      </c>
      <c r="K487">
        <v>628.66999999999996</v>
      </c>
      <c r="L487">
        <v>195.66</v>
      </c>
      <c r="M487">
        <v>782.64</v>
      </c>
      <c r="N487">
        <v>37</v>
      </c>
      <c r="O487" t="s">
        <v>19</v>
      </c>
      <c r="P487" t="s">
        <v>51</v>
      </c>
    </row>
    <row r="488" spans="1:16">
      <c r="A488">
        <v>100062</v>
      </c>
      <c r="B488" s="4">
        <v>45699</v>
      </c>
      <c r="C488" t="s">
        <v>567</v>
      </c>
      <c r="D488" t="s">
        <v>39</v>
      </c>
      <c r="E488" t="s">
        <v>25</v>
      </c>
      <c r="F488" t="s">
        <v>1241</v>
      </c>
      <c r="G488" t="s">
        <v>18</v>
      </c>
      <c r="H488">
        <v>3</v>
      </c>
      <c r="I488">
        <v>149.9</v>
      </c>
      <c r="J488">
        <v>0</v>
      </c>
      <c r="K488">
        <v>449.7</v>
      </c>
      <c r="L488">
        <v>174.72</v>
      </c>
      <c r="M488">
        <v>524.16</v>
      </c>
      <c r="N488">
        <v>33</v>
      </c>
      <c r="O488" t="s">
        <v>26</v>
      </c>
      <c r="P488" t="s">
        <v>35</v>
      </c>
    </row>
    <row r="489" spans="1:16">
      <c r="A489">
        <v>100605</v>
      </c>
      <c r="B489" s="4">
        <v>45500</v>
      </c>
      <c r="C489" t="s">
        <v>566</v>
      </c>
      <c r="D489" t="s">
        <v>73</v>
      </c>
      <c r="E489" t="s">
        <v>25</v>
      </c>
      <c r="F489" t="s">
        <v>1241</v>
      </c>
      <c r="G489" t="s">
        <v>18</v>
      </c>
      <c r="H489">
        <v>1</v>
      </c>
      <c r="I489">
        <v>34.1</v>
      </c>
      <c r="J489">
        <v>10</v>
      </c>
      <c r="K489">
        <v>30.69</v>
      </c>
      <c r="L489">
        <v>7.56</v>
      </c>
      <c r="M489">
        <v>7.56</v>
      </c>
      <c r="N489">
        <v>45</v>
      </c>
      <c r="O489" t="s">
        <v>19</v>
      </c>
      <c r="P489" t="s">
        <v>20</v>
      </c>
    </row>
    <row r="490" spans="1:16">
      <c r="A490">
        <v>101057</v>
      </c>
      <c r="B490" s="4">
        <v>45715</v>
      </c>
      <c r="C490" t="s">
        <v>563</v>
      </c>
      <c r="D490" t="s">
        <v>24</v>
      </c>
      <c r="E490" t="s">
        <v>25</v>
      </c>
      <c r="F490" t="s">
        <v>1240</v>
      </c>
      <c r="G490" t="s">
        <v>31</v>
      </c>
      <c r="H490">
        <v>3</v>
      </c>
      <c r="I490">
        <v>85.71</v>
      </c>
      <c r="J490">
        <v>40</v>
      </c>
      <c r="K490">
        <v>154.28</v>
      </c>
      <c r="L490">
        <v>45.27</v>
      </c>
      <c r="M490">
        <v>135.81</v>
      </c>
      <c r="N490">
        <v>39</v>
      </c>
      <c r="O490" t="s">
        <v>19</v>
      </c>
      <c r="P490" t="s">
        <v>81</v>
      </c>
    </row>
    <row r="491" spans="1:16">
      <c r="A491">
        <v>100365</v>
      </c>
      <c r="B491" s="4">
        <v>44981</v>
      </c>
      <c r="C491" t="s">
        <v>539</v>
      </c>
      <c r="D491" t="s">
        <v>87</v>
      </c>
      <c r="E491" t="s">
        <v>25</v>
      </c>
      <c r="F491" t="s">
        <v>1240</v>
      </c>
      <c r="G491" t="s">
        <v>18</v>
      </c>
      <c r="H491">
        <v>5</v>
      </c>
      <c r="I491">
        <v>74.78</v>
      </c>
      <c r="J491">
        <v>5</v>
      </c>
      <c r="K491">
        <v>355.2</v>
      </c>
      <c r="L491">
        <v>100.14</v>
      </c>
      <c r="M491">
        <v>500.7</v>
      </c>
      <c r="N491">
        <v>32</v>
      </c>
      <c r="O491" t="s">
        <v>19</v>
      </c>
      <c r="P491" t="s">
        <v>20</v>
      </c>
    </row>
    <row r="492" spans="1:16">
      <c r="A492">
        <v>101043</v>
      </c>
      <c r="B492" s="4">
        <v>45571</v>
      </c>
      <c r="C492" t="s">
        <v>38</v>
      </c>
      <c r="D492" t="s">
        <v>87</v>
      </c>
      <c r="E492" t="s">
        <v>25</v>
      </c>
      <c r="F492" t="s">
        <v>1241</v>
      </c>
      <c r="G492" t="s">
        <v>18</v>
      </c>
      <c r="H492">
        <v>2</v>
      </c>
      <c r="I492">
        <v>84.94</v>
      </c>
      <c r="J492">
        <v>0</v>
      </c>
      <c r="K492">
        <v>169.88</v>
      </c>
      <c r="L492">
        <v>67.75</v>
      </c>
      <c r="M492">
        <v>135.5</v>
      </c>
      <c r="N492">
        <v>21</v>
      </c>
      <c r="O492" t="s">
        <v>19</v>
      </c>
      <c r="P492" t="s">
        <v>81</v>
      </c>
    </row>
    <row r="493" spans="1:16">
      <c r="A493">
        <v>101195</v>
      </c>
      <c r="B493" s="4">
        <v>44965</v>
      </c>
      <c r="C493" t="s">
        <v>562</v>
      </c>
      <c r="D493" t="s">
        <v>24</v>
      </c>
      <c r="E493" t="s">
        <v>25</v>
      </c>
      <c r="F493" t="s">
        <v>1238</v>
      </c>
      <c r="G493" t="s">
        <v>31</v>
      </c>
      <c r="H493">
        <v>2</v>
      </c>
      <c r="I493">
        <v>77.510000000000005</v>
      </c>
      <c r="J493">
        <v>5</v>
      </c>
      <c r="K493">
        <v>147.27000000000001</v>
      </c>
      <c r="L493">
        <v>42.27</v>
      </c>
      <c r="M493">
        <v>84.54</v>
      </c>
      <c r="N493">
        <v>28</v>
      </c>
      <c r="O493" t="s">
        <v>26</v>
      </c>
      <c r="P493" t="s">
        <v>35</v>
      </c>
    </row>
    <row r="494" spans="1:16">
      <c r="A494">
        <v>100404</v>
      </c>
      <c r="B494" s="4">
        <v>45770</v>
      </c>
      <c r="C494" t="s">
        <v>561</v>
      </c>
      <c r="D494" t="s">
        <v>70</v>
      </c>
      <c r="E494" t="s">
        <v>25</v>
      </c>
      <c r="F494" t="s">
        <v>1241</v>
      </c>
      <c r="G494" t="s">
        <v>31</v>
      </c>
      <c r="H494">
        <v>2</v>
      </c>
      <c r="I494">
        <v>147.32</v>
      </c>
      <c r="J494">
        <v>5</v>
      </c>
      <c r="K494">
        <v>279.91000000000003</v>
      </c>
      <c r="L494">
        <v>104.82</v>
      </c>
      <c r="M494">
        <v>209.64</v>
      </c>
      <c r="N494">
        <v>29</v>
      </c>
      <c r="O494" t="s">
        <v>19</v>
      </c>
      <c r="P494" t="s">
        <v>43</v>
      </c>
    </row>
    <row r="495" spans="1:16">
      <c r="A495">
        <v>100538</v>
      </c>
      <c r="B495" s="4">
        <v>45880</v>
      </c>
      <c r="C495" t="s">
        <v>543</v>
      </c>
      <c r="D495" t="s">
        <v>70</v>
      </c>
      <c r="E495" t="s">
        <v>25</v>
      </c>
      <c r="F495" t="s">
        <v>1237</v>
      </c>
      <c r="G495" t="s">
        <v>31</v>
      </c>
      <c r="H495">
        <v>4</v>
      </c>
      <c r="I495">
        <v>153.51</v>
      </c>
      <c r="J495">
        <v>10</v>
      </c>
      <c r="K495">
        <v>552.64</v>
      </c>
      <c r="L495">
        <v>160.62</v>
      </c>
      <c r="M495">
        <v>642.48</v>
      </c>
      <c r="N495">
        <v>16</v>
      </c>
      <c r="O495" t="s">
        <v>19</v>
      </c>
      <c r="P495" t="s">
        <v>35</v>
      </c>
    </row>
    <row r="496" spans="1:16">
      <c r="A496">
        <v>100661</v>
      </c>
      <c r="B496" s="4">
        <v>45882</v>
      </c>
      <c r="C496" t="s">
        <v>560</v>
      </c>
      <c r="D496" t="s">
        <v>70</v>
      </c>
      <c r="E496" t="s">
        <v>25</v>
      </c>
      <c r="F496" t="s">
        <v>1241</v>
      </c>
      <c r="G496" t="s">
        <v>31</v>
      </c>
      <c r="H496">
        <v>3</v>
      </c>
      <c r="I496">
        <v>142.51</v>
      </c>
      <c r="J496">
        <v>0</v>
      </c>
      <c r="K496">
        <v>427.53</v>
      </c>
      <c r="L496">
        <v>157.68</v>
      </c>
      <c r="M496">
        <v>473.04</v>
      </c>
      <c r="N496">
        <v>32</v>
      </c>
      <c r="O496" t="s">
        <v>19</v>
      </c>
      <c r="P496" t="s">
        <v>81</v>
      </c>
    </row>
    <row r="497" spans="1:16">
      <c r="A497">
        <v>100310</v>
      </c>
      <c r="B497" s="4">
        <v>44928</v>
      </c>
      <c r="C497" t="s">
        <v>559</v>
      </c>
      <c r="D497" t="s">
        <v>73</v>
      </c>
      <c r="E497" t="s">
        <v>25</v>
      </c>
      <c r="F497" t="s">
        <v>1241</v>
      </c>
      <c r="G497" t="s">
        <v>18</v>
      </c>
      <c r="H497">
        <v>5</v>
      </c>
      <c r="I497">
        <v>36.36</v>
      </c>
      <c r="J497">
        <v>5</v>
      </c>
      <c r="K497">
        <v>172.71</v>
      </c>
      <c r="L497">
        <v>44.5</v>
      </c>
      <c r="M497">
        <v>222.5</v>
      </c>
      <c r="N497">
        <v>25</v>
      </c>
      <c r="O497" t="s">
        <v>19</v>
      </c>
      <c r="P497" t="s">
        <v>81</v>
      </c>
    </row>
    <row r="498" spans="1:16">
      <c r="A498">
        <v>101137</v>
      </c>
      <c r="B498" s="4">
        <v>45358</v>
      </c>
      <c r="C498" t="s">
        <v>105</v>
      </c>
      <c r="D498" t="s">
        <v>87</v>
      </c>
      <c r="E498" t="s">
        <v>25</v>
      </c>
      <c r="F498" t="s">
        <v>1241</v>
      </c>
      <c r="G498" t="s">
        <v>18</v>
      </c>
      <c r="H498">
        <v>5</v>
      </c>
      <c r="I498">
        <v>88.63</v>
      </c>
      <c r="J498">
        <v>10</v>
      </c>
      <c r="K498">
        <v>398.83</v>
      </c>
      <c r="L498">
        <v>94.16</v>
      </c>
      <c r="M498">
        <v>470.79999999999995</v>
      </c>
      <c r="N498">
        <v>22</v>
      </c>
      <c r="O498" t="s">
        <v>26</v>
      </c>
      <c r="P498" t="s">
        <v>81</v>
      </c>
    </row>
    <row r="499" spans="1:16">
      <c r="A499">
        <v>100196</v>
      </c>
      <c r="B499" s="4">
        <v>45001</v>
      </c>
      <c r="C499" t="s">
        <v>555</v>
      </c>
      <c r="D499" t="s">
        <v>70</v>
      </c>
      <c r="E499" t="s">
        <v>25</v>
      </c>
      <c r="F499" t="s">
        <v>1238</v>
      </c>
      <c r="G499" t="s">
        <v>31</v>
      </c>
      <c r="H499">
        <v>3</v>
      </c>
      <c r="I499">
        <v>161.19</v>
      </c>
      <c r="J499">
        <v>20</v>
      </c>
      <c r="K499">
        <v>386.86</v>
      </c>
      <c r="L499">
        <v>132.94999999999999</v>
      </c>
      <c r="M499">
        <v>398.84999999999997</v>
      </c>
      <c r="N499">
        <v>31</v>
      </c>
      <c r="O499" t="s">
        <v>26</v>
      </c>
      <c r="P499" t="s">
        <v>35</v>
      </c>
    </row>
    <row r="500" spans="1:16">
      <c r="A500">
        <v>101185</v>
      </c>
      <c r="B500" s="4">
        <v>45768</v>
      </c>
      <c r="C500" t="s">
        <v>547</v>
      </c>
      <c r="D500" t="s">
        <v>100</v>
      </c>
      <c r="E500" t="s">
        <v>25</v>
      </c>
      <c r="F500" t="s">
        <v>1239</v>
      </c>
      <c r="G500" t="s">
        <v>31</v>
      </c>
      <c r="H500">
        <v>3</v>
      </c>
      <c r="I500">
        <v>142.61000000000001</v>
      </c>
      <c r="J500">
        <v>0</v>
      </c>
      <c r="K500">
        <v>427.83</v>
      </c>
      <c r="L500">
        <v>125.1</v>
      </c>
      <c r="M500">
        <v>375.29999999999995</v>
      </c>
      <c r="N500">
        <v>42</v>
      </c>
      <c r="O500" t="s">
        <v>26</v>
      </c>
      <c r="P500" t="s">
        <v>81</v>
      </c>
    </row>
    <row r="501" spans="1:16">
      <c r="A501">
        <v>101075</v>
      </c>
      <c r="B501" s="4">
        <v>45688</v>
      </c>
      <c r="C501" t="s">
        <v>548</v>
      </c>
      <c r="D501" t="s">
        <v>68</v>
      </c>
      <c r="E501" t="s">
        <v>25</v>
      </c>
      <c r="F501" t="s">
        <v>1237</v>
      </c>
      <c r="G501" t="s">
        <v>18</v>
      </c>
      <c r="H501">
        <v>2</v>
      </c>
      <c r="I501">
        <v>244.85</v>
      </c>
      <c r="J501">
        <v>0</v>
      </c>
      <c r="K501">
        <v>489.7</v>
      </c>
      <c r="L501">
        <v>155.19</v>
      </c>
      <c r="M501">
        <v>310.38</v>
      </c>
      <c r="N501">
        <v>22</v>
      </c>
      <c r="O501" t="s">
        <v>26</v>
      </c>
      <c r="P501" t="s">
        <v>43</v>
      </c>
    </row>
    <row r="502" spans="1:16">
      <c r="A502">
        <v>100554</v>
      </c>
      <c r="B502" s="4">
        <v>45218</v>
      </c>
      <c r="C502" t="s">
        <v>551</v>
      </c>
      <c r="D502" t="s">
        <v>100</v>
      </c>
      <c r="E502" t="s">
        <v>25</v>
      </c>
      <c r="F502" t="s">
        <v>1241</v>
      </c>
      <c r="G502" t="s">
        <v>48</v>
      </c>
      <c r="H502">
        <v>3</v>
      </c>
      <c r="I502">
        <v>111.07</v>
      </c>
      <c r="J502">
        <v>10</v>
      </c>
      <c r="K502">
        <v>299.89</v>
      </c>
      <c r="L502">
        <v>94.02</v>
      </c>
      <c r="M502">
        <v>282.06</v>
      </c>
      <c r="N502">
        <v>20</v>
      </c>
      <c r="O502" t="s">
        <v>26</v>
      </c>
      <c r="P502" t="s">
        <v>51</v>
      </c>
    </row>
    <row r="503" spans="1:16">
      <c r="A503">
        <v>100436</v>
      </c>
      <c r="B503" s="4">
        <v>45654</v>
      </c>
      <c r="C503" t="s">
        <v>550</v>
      </c>
      <c r="D503" t="s">
        <v>87</v>
      </c>
      <c r="E503" t="s">
        <v>25</v>
      </c>
      <c r="F503" t="s">
        <v>1237</v>
      </c>
      <c r="G503" t="s">
        <v>31</v>
      </c>
      <c r="H503">
        <v>3</v>
      </c>
      <c r="I503">
        <v>89.53</v>
      </c>
      <c r="J503">
        <v>0</v>
      </c>
      <c r="K503">
        <v>268.58999999999997</v>
      </c>
      <c r="L503">
        <v>86.24</v>
      </c>
      <c r="M503">
        <v>258.71999999999997</v>
      </c>
      <c r="N503">
        <v>19</v>
      </c>
      <c r="O503" t="s">
        <v>19</v>
      </c>
      <c r="P503" t="s">
        <v>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575CD-573A-4E53-A3D2-E6B86714E2E2}">
  <dimension ref="A1:P503"/>
  <sheetViews>
    <sheetView workbookViewId="0">
      <selection sqref="A1:P503"/>
    </sheetView>
  </sheetViews>
  <sheetFormatPr defaultRowHeight="14.25"/>
  <cols>
    <col min="1" max="1" width="10.125" customWidth="1"/>
    <col min="2" max="2" width="12.375" customWidth="1"/>
    <col min="4" max="4" width="15.25" customWidth="1"/>
    <col min="5" max="5" width="10.25" customWidth="1"/>
    <col min="7" max="7" width="12.375" customWidth="1"/>
    <col min="8" max="8" width="11.875" customWidth="1"/>
    <col min="9" max="9" width="11.375" customWidth="1"/>
    <col min="10" max="11" width="10.125" customWidth="1"/>
    <col min="13" max="13" width="12" customWidth="1"/>
    <col min="14" max="14" width="15.25" customWidth="1"/>
    <col min="15" max="15" width="8.875" customWidth="1"/>
    <col min="16" max="16" width="17.25" customWidth="1"/>
  </cols>
  <sheetData>
    <row r="1" spans="1:16">
      <c r="A1" t="s">
        <v>0</v>
      </c>
      <c r="B1" t="s">
        <v>1</v>
      </c>
      <c r="C1" t="s">
        <v>2</v>
      </c>
      <c r="D1" t="s">
        <v>3</v>
      </c>
      <c r="E1" t="s">
        <v>4</v>
      </c>
      <c r="F1" t="s">
        <v>5</v>
      </c>
      <c r="G1" t="s">
        <v>6</v>
      </c>
      <c r="H1" t="s">
        <v>7</v>
      </c>
      <c r="I1" t="s">
        <v>8</v>
      </c>
      <c r="J1" t="s">
        <v>9</v>
      </c>
      <c r="K1" t="s">
        <v>10</v>
      </c>
      <c r="L1" t="s">
        <v>11</v>
      </c>
      <c r="M1" t="s">
        <v>1252</v>
      </c>
      <c r="N1" t="s">
        <v>12</v>
      </c>
      <c r="O1" t="s">
        <v>13</v>
      </c>
      <c r="P1" t="s">
        <v>14</v>
      </c>
    </row>
    <row r="2" spans="1:16">
      <c r="A2">
        <v>101126</v>
      </c>
      <c r="B2" s="4">
        <v>45875</v>
      </c>
      <c r="C2" t="s">
        <v>1236</v>
      </c>
      <c r="D2" t="s">
        <v>87</v>
      </c>
      <c r="E2" t="s">
        <v>25</v>
      </c>
      <c r="F2" t="s">
        <v>1241</v>
      </c>
      <c r="G2" t="s">
        <v>18</v>
      </c>
      <c r="H2">
        <v>6</v>
      </c>
      <c r="I2">
        <v>72.03</v>
      </c>
      <c r="J2">
        <v>20</v>
      </c>
      <c r="K2">
        <v>345.74</v>
      </c>
      <c r="L2">
        <v>94.24</v>
      </c>
      <c r="M2">
        <v>565.43999999999994</v>
      </c>
      <c r="N2">
        <v>31</v>
      </c>
      <c r="O2" t="s">
        <v>26</v>
      </c>
      <c r="P2" t="s">
        <v>35</v>
      </c>
    </row>
    <row r="3" spans="1:16">
      <c r="A3">
        <v>100860</v>
      </c>
      <c r="B3" s="4">
        <v>45172</v>
      </c>
      <c r="C3" t="s">
        <v>1235</v>
      </c>
      <c r="D3" t="s">
        <v>100</v>
      </c>
      <c r="E3" t="s">
        <v>25</v>
      </c>
      <c r="F3" t="s">
        <v>1238</v>
      </c>
      <c r="G3" t="s">
        <v>31</v>
      </c>
      <c r="H3">
        <v>4</v>
      </c>
      <c r="I3">
        <v>142.77000000000001</v>
      </c>
      <c r="J3">
        <v>0</v>
      </c>
      <c r="K3">
        <v>571.08000000000004</v>
      </c>
      <c r="L3">
        <v>170.99</v>
      </c>
      <c r="M3">
        <v>683.96</v>
      </c>
      <c r="N3">
        <v>40</v>
      </c>
      <c r="O3" t="s">
        <v>26</v>
      </c>
      <c r="P3" t="s">
        <v>27</v>
      </c>
    </row>
    <row r="4" spans="1:16">
      <c r="A4">
        <v>100101</v>
      </c>
      <c r="B4" s="4">
        <v>45559</v>
      </c>
      <c r="C4" t="s">
        <v>23</v>
      </c>
      <c r="D4" t="s">
        <v>24</v>
      </c>
      <c r="E4" t="s">
        <v>25</v>
      </c>
      <c r="F4" t="s">
        <v>1237</v>
      </c>
      <c r="G4" t="s">
        <v>18</v>
      </c>
      <c r="H4">
        <v>3</v>
      </c>
      <c r="I4">
        <v>96.58</v>
      </c>
      <c r="J4">
        <v>20</v>
      </c>
      <c r="K4">
        <v>231.79</v>
      </c>
      <c r="L4">
        <v>61.86</v>
      </c>
      <c r="M4">
        <v>185.57999999999998</v>
      </c>
      <c r="N4">
        <v>34</v>
      </c>
      <c r="O4" t="s">
        <v>26</v>
      </c>
      <c r="P4" t="s">
        <v>27</v>
      </c>
    </row>
    <row r="5" spans="1:16">
      <c r="A5">
        <v>101130</v>
      </c>
      <c r="B5" s="4">
        <v>45096</v>
      </c>
      <c r="C5" t="s">
        <v>1234</v>
      </c>
      <c r="D5" t="s">
        <v>73</v>
      </c>
      <c r="E5" t="s">
        <v>25</v>
      </c>
      <c r="F5" t="s">
        <v>1238</v>
      </c>
      <c r="G5" t="s">
        <v>48</v>
      </c>
      <c r="H5">
        <v>3</v>
      </c>
      <c r="I5">
        <v>31</v>
      </c>
      <c r="J5">
        <v>0</v>
      </c>
      <c r="K5">
        <v>93</v>
      </c>
      <c r="L5">
        <v>28.22</v>
      </c>
      <c r="M5">
        <v>84.66</v>
      </c>
      <c r="N5">
        <v>34</v>
      </c>
      <c r="O5" t="s">
        <v>26</v>
      </c>
      <c r="P5" t="s">
        <v>20</v>
      </c>
    </row>
    <row r="6" spans="1:16">
      <c r="A6">
        <v>101044</v>
      </c>
      <c r="B6" s="4">
        <v>45640</v>
      </c>
      <c r="C6" t="s">
        <v>1232</v>
      </c>
      <c r="D6" t="s">
        <v>68</v>
      </c>
      <c r="E6" t="s">
        <v>25</v>
      </c>
      <c r="F6" t="s">
        <v>1240</v>
      </c>
      <c r="G6" t="s">
        <v>18</v>
      </c>
      <c r="H6">
        <v>2</v>
      </c>
      <c r="I6">
        <v>220.12</v>
      </c>
      <c r="J6">
        <v>5</v>
      </c>
      <c r="K6">
        <v>418.23</v>
      </c>
      <c r="L6">
        <v>108.68</v>
      </c>
      <c r="M6">
        <v>217.36</v>
      </c>
      <c r="N6">
        <v>36</v>
      </c>
      <c r="O6" t="s">
        <v>19</v>
      </c>
      <c r="P6" t="s">
        <v>51</v>
      </c>
    </row>
    <row r="7" spans="1:16">
      <c r="A7">
        <v>100330</v>
      </c>
      <c r="B7" s="4">
        <v>45262</v>
      </c>
      <c r="C7" t="s">
        <v>1229</v>
      </c>
      <c r="D7" t="s">
        <v>24</v>
      </c>
      <c r="E7" t="s">
        <v>25</v>
      </c>
      <c r="F7" t="s">
        <v>1241</v>
      </c>
      <c r="G7" t="s">
        <v>18</v>
      </c>
      <c r="H7">
        <v>4</v>
      </c>
      <c r="I7">
        <v>95.63</v>
      </c>
      <c r="J7">
        <v>0</v>
      </c>
      <c r="K7">
        <v>382.52</v>
      </c>
      <c r="L7">
        <v>105.82</v>
      </c>
      <c r="M7">
        <v>423.28</v>
      </c>
      <c r="N7">
        <v>32</v>
      </c>
      <c r="O7" t="s">
        <v>19</v>
      </c>
      <c r="P7" t="s">
        <v>20</v>
      </c>
    </row>
    <row r="8" spans="1:16">
      <c r="A8">
        <v>100323</v>
      </c>
      <c r="B8" s="4">
        <v>45049</v>
      </c>
      <c r="C8" t="s">
        <v>38</v>
      </c>
      <c r="D8" t="s">
        <v>39</v>
      </c>
      <c r="E8" t="s">
        <v>25</v>
      </c>
      <c r="F8" t="s">
        <v>1237</v>
      </c>
      <c r="G8" t="s">
        <v>18</v>
      </c>
      <c r="H8">
        <v>4</v>
      </c>
      <c r="I8">
        <v>182.16</v>
      </c>
      <c r="J8">
        <v>0</v>
      </c>
      <c r="K8">
        <v>728.64</v>
      </c>
      <c r="L8">
        <v>227.81</v>
      </c>
      <c r="M8">
        <v>911.24</v>
      </c>
      <c r="N8">
        <v>29</v>
      </c>
      <c r="O8" t="s">
        <v>19</v>
      </c>
      <c r="P8" t="s">
        <v>20</v>
      </c>
    </row>
    <row r="9" spans="1:16">
      <c r="A9">
        <v>100087</v>
      </c>
      <c r="B9" s="4">
        <v>45708</v>
      </c>
      <c r="C9" t="s">
        <v>1228</v>
      </c>
      <c r="D9" t="s">
        <v>42</v>
      </c>
      <c r="E9" t="s">
        <v>25</v>
      </c>
      <c r="F9" t="s">
        <v>1237</v>
      </c>
      <c r="G9" t="s">
        <v>48</v>
      </c>
      <c r="H9">
        <v>2</v>
      </c>
      <c r="I9">
        <v>149.85</v>
      </c>
      <c r="J9">
        <v>5</v>
      </c>
      <c r="K9">
        <v>284.70999999999998</v>
      </c>
      <c r="L9">
        <v>83.89</v>
      </c>
      <c r="M9">
        <v>167.78</v>
      </c>
      <c r="N9">
        <v>21</v>
      </c>
      <c r="O9" t="s">
        <v>26</v>
      </c>
      <c r="P9" t="s">
        <v>32</v>
      </c>
    </row>
    <row r="10" spans="1:16">
      <c r="A10">
        <v>100411</v>
      </c>
      <c r="B10" s="4">
        <v>45229</v>
      </c>
      <c r="C10" t="s">
        <v>41</v>
      </c>
      <c r="D10" t="s">
        <v>42</v>
      </c>
      <c r="E10" t="s">
        <v>25</v>
      </c>
      <c r="F10" t="s">
        <v>1238</v>
      </c>
      <c r="G10" t="s">
        <v>18</v>
      </c>
      <c r="H10">
        <v>3</v>
      </c>
      <c r="I10">
        <v>152.09</v>
      </c>
      <c r="J10">
        <v>10</v>
      </c>
      <c r="K10">
        <v>410.64</v>
      </c>
      <c r="L10">
        <v>93.96</v>
      </c>
      <c r="M10">
        <v>281.88</v>
      </c>
      <c r="N10">
        <v>27</v>
      </c>
      <c r="O10" t="s">
        <v>19</v>
      </c>
      <c r="P10" t="s">
        <v>43</v>
      </c>
    </row>
    <row r="11" spans="1:16">
      <c r="A11">
        <v>101123</v>
      </c>
      <c r="B11" s="4">
        <v>45861</v>
      </c>
      <c r="C11" t="s">
        <v>1227</v>
      </c>
      <c r="D11" t="s">
        <v>73</v>
      </c>
      <c r="E11" t="s">
        <v>25</v>
      </c>
      <c r="F11" t="s">
        <v>1238</v>
      </c>
      <c r="G11" t="s">
        <v>18</v>
      </c>
      <c r="H11">
        <v>3</v>
      </c>
      <c r="I11">
        <v>33.9</v>
      </c>
      <c r="J11">
        <v>5</v>
      </c>
      <c r="K11">
        <v>96.61</v>
      </c>
      <c r="L11">
        <v>33.520000000000003</v>
      </c>
      <c r="M11">
        <v>100.56</v>
      </c>
      <c r="N11">
        <v>20</v>
      </c>
      <c r="O11" t="s">
        <v>26</v>
      </c>
      <c r="P11" t="s">
        <v>27</v>
      </c>
    </row>
    <row r="12" spans="1:16">
      <c r="A12">
        <v>100871</v>
      </c>
      <c r="B12" s="4">
        <v>45774</v>
      </c>
      <c r="C12" t="s">
        <v>1226</v>
      </c>
      <c r="D12" t="s">
        <v>100</v>
      </c>
      <c r="E12" t="s">
        <v>25</v>
      </c>
      <c r="F12" t="s">
        <v>1241</v>
      </c>
      <c r="G12" t="s">
        <v>31</v>
      </c>
      <c r="H12">
        <v>5</v>
      </c>
      <c r="I12">
        <v>127.61</v>
      </c>
      <c r="J12">
        <v>5</v>
      </c>
      <c r="K12">
        <v>606.15</v>
      </c>
      <c r="L12">
        <v>149.27000000000001</v>
      </c>
      <c r="M12">
        <v>746.35</v>
      </c>
      <c r="N12">
        <v>30</v>
      </c>
      <c r="O12" t="s">
        <v>19</v>
      </c>
      <c r="P12" t="s">
        <v>81</v>
      </c>
    </row>
    <row r="13" spans="1:16">
      <c r="A13">
        <v>100769</v>
      </c>
      <c r="B13" s="4">
        <v>45643</v>
      </c>
      <c r="C13" t="s">
        <v>1224</v>
      </c>
      <c r="D13" t="s">
        <v>87</v>
      </c>
      <c r="E13" t="s">
        <v>25</v>
      </c>
      <c r="F13" t="s">
        <v>1238</v>
      </c>
      <c r="G13" t="s">
        <v>31</v>
      </c>
      <c r="H13">
        <v>3</v>
      </c>
      <c r="I13">
        <v>79.709999999999994</v>
      </c>
      <c r="J13">
        <v>5</v>
      </c>
      <c r="K13">
        <v>227.17</v>
      </c>
      <c r="L13">
        <v>58.6</v>
      </c>
      <c r="M13">
        <v>175.8</v>
      </c>
      <c r="N13">
        <v>35</v>
      </c>
      <c r="O13" t="s">
        <v>19</v>
      </c>
      <c r="P13" t="s">
        <v>35</v>
      </c>
    </row>
    <row r="14" spans="1:16">
      <c r="A14">
        <v>100343</v>
      </c>
      <c r="B14" s="4">
        <v>45866</v>
      </c>
      <c r="C14" t="s">
        <v>1223</v>
      </c>
      <c r="D14" t="s">
        <v>24</v>
      </c>
      <c r="E14" t="s">
        <v>25</v>
      </c>
      <c r="F14" t="s">
        <v>1241</v>
      </c>
      <c r="G14" t="s">
        <v>48</v>
      </c>
      <c r="H14">
        <v>2</v>
      </c>
      <c r="I14">
        <v>96.12</v>
      </c>
      <c r="J14">
        <v>10</v>
      </c>
      <c r="K14">
        <v>173.02</v>
      </c>
      <c r="L14">
        <v>65.849999999999994</v>
      </c>
      <c r="M14">
        <v>131.69999999999999</v>
      </c>
      <c r="N14">
        <v>37</v>
      </c>
      <c r="O14" t="s">
        <v>26</v>
      </c>
      <c r="P14" t="s">
        <v>35</v>
      </c>
    </row>
    <row r="15" spans="1:16">
      <c r="A15">
        <v>100385</v>
      </c>
      <c r="B15" s="4">
        <v>45427</v>
      </c>
      <c r="C15" t="s">
        <v>1221</v>
      </c>
      <c r="D15" t="s">
        <v>100</v>
      </c>
      <c r="E15" t="s">
        <v>25</v>
      </c>
      <c r="F15" t="s">
        <v>1240</v>
      </c>
      <c r="G15" t="s">
        <v>31</v>
      </c>
      <c r="H15">
        <v>3</v>
      </c>
      <c r="I15">
        <v>130.16</v>
      </c>
      <c r="J15">
        <v>5</v>
      </c>
      <c r="K15">
        <v>370.96</v>
      </c>
      <c r="L15">
        <v>126.59</v>
      </c>
      <c r="M15">
        <v>379.77</v>
      </c>
      <c r="N15">
        <v>23</v>
      </c>
      <c r="O15" t="s">
        <v>19</v>
      </c>
      <c r="P15" t="s">
        <v>43</v>
      </c>
    </row>
    <row r="16" spans="1:16">
      <c r="A16">
        <v>100747</v>
      </c>
      <c r="B16" s="4">
        <v>45828</v>
      </c>
      <c r="C16" t="s">
        <v>1215</v>
      </c>
      <c r="D16" t="s">
        <v>87</v>
      </c>
      <c r="E16" t="s">
        <v>25</v>
      </c>
      <c r="F16" t="s">
        <v>1238</v>
      </c>
      <c r="G16" t="s">
        <v>18</v>
      </c>
      <c r="H16">
        <v>2</v>
      </c>
      <c r="I16">
        <v>82.82</v>
      </c>
      <c r="J16">
        <v>5</v>
      </c>
      <c r="K16">
        <v>157.36000000000001</v>
      </c>
      <c r="L16">
        <v>60.14</v>
      </c>
      <c r="M16">
        <v>120.28</v>
      </c>
      <c r="N16">
        <v>32</v>
      </c>
      <c r="O16" t="s">
        <v>26</v>
      </c>
      <c r="P16" t="s">
        <v>81</v>
      </c>
    </row>
    <row r="17" spans="1:16">
      <c r="A17">
        <v>101082</v>
      </c>
      <c r="B17" s="4">
        <v>44993</v>
      </c>
      <c r="C17" t="s">
        <v>1212</v>
      </c>
      <c r="D17" t="s">
        <v>73</v>
      </c>
      <c r="E17" t="s">
        <v>25</v>
      </c>
      <c r="F17" t="s">
        <v>1237</v>
      </c>
      <c r="G17" t="s">
        <v>18</v>
      </c>
      <c r="H17">
        <v>2</v>
      </c>
      <c r="I17">
        <v>36.950000000000003</v>
      </c>
      <c r="J17">
        <v>0</v>
      </c>
      <c r="K17">
        <v>73.900000000000006</v>
      </c>
      <c r="L17">
        <v>19.079999999999998</v>
      </c>
      <c r="M17">
        <v>38.159999999999997</v>
      </c>
      <c r="N17">
        <v>33</v>
      </c>
      <c r="O17" t="s">
        <v>19</v>
      </c>
      <c r="P17" t="s">
        <v>81</v>
      </c>
    </row>
    <row r="18" spans="1:16">
      <c r="A18">
        <v>100975</v>
      </c>
      <c r="B18" s="4">
        <v>45548</v>
      </c>
      <c r="C18" t="s">
        <v>1209</v>
      </c>
      <c r="D18" t="s">
        <v>73</v>
      </c>
      <c r="E18" t="s">
        <v>25</v>
      </c>
      <c r="F18" t="s">
        <v>1239</v>
      </c>
      <c r="G18" t="s">
        <v>48</v>
      </c>
      <c r="H18">
        <v>4</v>
      </c>
      <c r="I18">
        <v>37.32</v>
      </c>
      <c r="J18">
        <v>0</v>
      </c>
      <c r="K18">
        <v>149.28</v>
      </c>
      <c r="L18">
        <v>45.58</v>
      </c>
      <c r="M18">
        <v>182.32</v>
      </c>
      <c r="N18">
        <v>21</v>
      </c>
      <c r="O18" t="s">
        <v>19</v>
      </c>
      <c r="P18" t="s">
        <v>81</v>
      </c>
    </row>
    <row r="19" spans="1:16">
      <c r="A19">
        <v>100189</v>
      </c>
      <c r="B19" s="4">
        <v>45553</v>
      </c>
      <c r="C19" t="s">
        <v>1208</v>
      </c>
      <c r="D19" t="s">
        <v>24</v>
      </c>
      <c r="E19" t="s">
        <v>25</v>
      </c>
      <c r="F19" t="s">
        <v>1238</v>
      </c>
      <c r="G19" t="s">
        <v>31</v>
      </c>
      <c r="H19">
        <v>1</v>
      </c>
      <c r="I19">
        <v>79.48</v>
      </c>
      <c r="J19">
        <v>10</v>
      </c>
      <c r="K19">
        <v>71.53</v>
      </c>
      <c r="L19">
        <v>20.5</v>
      </c>
      <c r="M19">
        <v>20.5</v>
      </c>
      <c r="N19">
        <v>29</v>
      </c>
      <c r="O19" t="s">
        <v>26</v>
      </c>
      <c r="P19" t="s">
        <v>32</v>
      </c>
    </row>
    <row r="20" spans="1:16">
      <c r="A20">
        <v>100686</v>
      </c>
      <c r="B20" s="4">
        <v>45214</v>
      </c>
      <c r="C20" t="s">
        <v>1206</v>
      </c>
      <c r="D20" t="s">
        <v>68</v>
      </c>
      <c r="E20" t="s">
        <v>25</v>
      </c>
      <c r="F20" t="s">
        <v>1238</v>
      </c>
      <c r="G20" t="s">
        <v>18</v>
      </c>
      <c r="H20">
        <v>4</v>
      </c>
      <c r="I20">
        <v>230.61</v>
      </c>
      <c r="J20">
        <v>10</v>
      </c>
      <c r="K20">
        <v>830.2</v>
      </c>
      <c r="L20">
        <v>213.75</v>
      </c>
      <c r="M20">
        <v>855</v>
      </c>
      <c r="N20">
        <v>34</v>
      </c>
      <c r="O20" t="s">
        <v>19</v>
      </c>
      <c r="P20" t="s">
        <v>51</v>
      </c>
    </row>
    <row r="21" spans="1:16">
      <c r="A21">
        <v>100562</v>
      </c>
      <c r="B21" s="4">
        <v>45271</v>
      </c>
      <c r="C21" t="s">
        <v>1204</v>
      </c>
      <c r="D21" t="s">
        <v>24</v>
      </c>
      <c r="E21" t="s">
        <v>25</v>
      </c>
      <c r="F21" t="s">
        <v>1237</v>
      </c>
      <c r="G21" t="s">
        <v>31</v>
      </c>
      <c r="H21">
        <v>3</v>
      </c>
      <c r="I21">
        <v>99.23</v>
      </c>
      <c r="J21">
        <v>5</v>
      </c>
      <c r="K21">
        <v>282.81</v>
      </c>
      <c r="L21">
        <v>65.959999999999994</v>
      </c>
      <c r="M21">
        <v>197.88</v>
      </c>
      <c r="N21">
        <v>33</v>
      </c>
      <c r="O21" t="s">
        <v>26</v>
      </c>
      <c r="P21" t="s">
        <v>32</v>
      </c>
    </row>
    <row r="22" spans="1:16">
      <c r="A22">
        <v>100646</v>
      </c>
      <c r="B22" s="4">
        <v>44941</v>
      </c>
      <c r="C22" t="s">
        <v>1201</v>
      </c>
      <c r="D22" t="s">
        <v>87</v>
      </c>
      <c r="E22" t="s">
        <v>25</v>
      </c>
      <c r="F22" t="s">
        <v>1239</v>
      </c>
      <c r="G22" t="s">
        <v>31</v>
      </c>
      <c r="H22">
        <v>4</v>
      </c>
      <c r="I22">
        <v>86.95</v>
      </c>
      <c r="J22">
        <v>0</v>
      </c>
      <c r="K22">
        <v>347.8</v>
      </c>
      <c r="L22">
        <v>60.89</v>
      </c>
      <c r="M22">
        <v>243.56</v>
      </c>
      <c r="N22">
        <v>24</v>
      </c>
      <c r="O22" t="s">
        <v>19</v>
      </c>
      <c r="P22" t="s">
        <v>43</v>
      </c>
    </row>
    <row r="23" spans="1:16">
      <c r="A23">
        <v>100840</v>
      </c>
      <c r="B23" s="4">
        <v>45701</v>
      </c>
      <c r="C23" t="s">
        <v>1199</v>
      </c>
      <c r="D23" t="s">
        <v>87</v>
      </c>
      <c r="E23" t="s">
        <v>25</v>
      </c>
      <c r="F23" t="s">
        <v>1237</v>
      </c>
      <c r="G23" t="s">
        <v>18</v>
      </c>
      <c r="H23">
        <v>2</v>
      </c>
      <c r="I23">
        <v>79.25</v>
      </c>
      <c r="J23">
        <v>5</v>
      </c>
      <c r="K23">
        <v>150.57</v>
      </c>
      <c r="L23">
        <v>49.34</v>
      </c>
      <c r="M23">
        <v>98.68</v>
      </c>
      <c r="N23">
        <v>33</v>
      </c>
      <c r="O23" t="s">
        <v>26</v>
      </c>
      <c r="P23" t="s">
        <v>51</v>
      </c>
    </row>
    <row r="24" spans="1:16">
      <c r="A24">
        <v>100676</v>
      </c>
      <c r="B24" s="4">
        <v>45635</v>
      </c>
      <c r="C24" t="s">
        <v>67</v>
      </c>
      <c r="D24" t="s">
        <v>68</v>
      </c>
      <c r="E24" t="s">
        <v>25</v>
      </c>
      <c r="F24" t="s">
        <v>1237</v>
      </c>
      <c r="G24" t="s">
        <v>31</v>
      </c>
      <c r="H24">
        <v>3</v>
      </c>
      <c r="I24">
        <v>226.72</v>
      </c>
      <c r="J24">
        <v>20</v>
      </c>
      <c r="K24">
        <v>544.13</v>
      </c>
      <c r="L24">
        <v>140.88999999999999</v>
      </c>
      <c r="M24">
        <v>422.66999999999996</v>
      </c>
      <c r="N24">
        <v>16</v>
      </c>
      <c r="O24" t="s">
        <v>26</v>
      </c>
      <c r="P24" t="s">
        <v>35</v>
      </c>
    </row>
    <row r="25" spans="1:16">
      <c r="A25">
        <v>100344</v>
      </c>
      <c r="B25" s="4">
        <v>45052</v>
      </c>
      <c r="C25" t="s">
        <v>69</v>
      </c>
      <c r="D25" t="s">
        <v>70</v>
      </c>
      <c r="E25" t="s">
        <v>25</v>
      </c>
      <c r="F25" t="s">
        <v>1241</v>
      </c>
      <c r="G25" t="s">
        <v>64</v>
      </c>
      <c r="H25">
        <v>3</v>
      </c>
      <c r="I25">
        <v>146.78</v>
      </c>
      <c r="J25">
        <v>0</v>
      </c>
      <c r="K25">
        <v>440.34</v>
      </c>
      <c r="L25">
        <v>112.48</v>
      </c>
      <c r="M25">
        <v>337.44</v>
      </c>
      <c r="N25">
        <v>42</v>
      </c>
      <c r="O25" t="s">
        <v>26</v>
      </c>
      <c r="P25" t="s">
        <v>32</v>
      </c>
    </row>
    <row r="26" spans="1:16">
      <c r="A26">
        <v>100387</v>
      </c>
      <c r="B26" s="4">
        <v>45620</v>
      </c>
      <c r="C26" t="s">
        <v>1197</v>
      </c>
      <c r="D26" t="s">
        <v>73</v>
      </c>
      <c r="E26" t="s">
        <v>25</v>
      </c>
      <c r="F26" t="s">
        <v>1238</v>
      </c>
      <c r="G26" t="s">
        <v>18</v>
      </c>
      <c r="H26">
        <v>5</v>
      </c>
      <c r="I26">
        <v>37.450000000000003</v>
      </c>
      <c r="J26">
        <v>40</v>
      </c>
      <c r="K26">
        <v>112.35</v>
      </c>
      <c r="L26">
        <v>33.340000000000003</v>
      </c>
      <c r="M26">
        <v>166.70000000000002</v>
      </c>
      <c r="N26">
        <v>45</v>
      </c>
      <c r="O26" t="s">
        <v>19</v>
      </c>
      <c r="P26" t="s">
        <v>81</v>
      </c>
    </row>
    <row r="27" spans="1:16">
      <c r="A27">
        <v>100277</v>
      </c>
      <c r="B27" s="4">
        <v>45892</v>
      </c>
      <c r="C27" t="s">
        <v>72</v>
      </c>
      <c r="D27" t="s">
        <v>73</v>
      </c>
      <c r="E27" t="s">
        <v>25</v>
      </c>
      <c r="F27" t="s">
        <v>1241</v>
      </c>
      <c r="G27" t="s">
        <v>31</v>
      </c>
      <c r="H27">
        <v>4</v>
      </c>
      <c r="I27">
        <v>34.950000000000003</v>
      </c>
      <c r="J27">
        <v>5</v>
      </c>
      <c r="K27">
        <v>132.81</v>
      </c>
      <c r="L27">
        <v>48.4</v>
      </c>
      <c r="M27">
        <v>193.6</v>
      </c>
      <c r="N27">
        <v>26</v>
      </c>
      <c r="O27" t="s">
        <v>19</v>
      </c>
      <c r="P27" t="s">
        <v>32</v>
      </c>
    </row>
    <row r="28" spans="1:16">
      <c r="A28">
        <v>100315</v>
      </c>
      <c r="B28" s="4">
        <v>45249</v>
      </c>
      <c r="C28" t="s">
        <v>1195</v>
      </c>
      <c r="D28" t="s">
        <v>68</v>
      </c>
      <c r="E28" t="s">
        <v>25</v>
      </c>
      <c r="F28" t="s">
        <v>1237</v>
      </c>
      <c r="G28" t="s">
        <v>18</v>
      </c>
      <c r="H28">
        <v>5</v>
      </c>
      <c r="I28">
        <v>230.5</v>
      </c>
      <c r="J28">
        <v>20</v>
      </c>
      <c r="K28">
        <v>922</v>
      </c>
      <c r="L28">
        <v>337.32</v>
      </c>
      <c r="M28">
        <v>1686.6</v>
      </c>
      <c r="N28">
        <v>29</v>
      </c>
      <c r="O28" t="s">
        <v>19</v>
      </c>
      <c r="P28" t="s">
        <v>20</v>
      </c>
    </row>
    <row r="29" spans="1:16">
      <c r="A29">
        <v>100570</v>
      </c>
      <c r="B29" s="4">
        <v>45188</v>
      </c>
      <c r="C29" t="s">
        <v>75</v>
      </c>
      <c r="D29" t="s">
        <v>42</v>
      </c>
      <c r="E29" t="s">
        <v>25</v>
      </c>
      <c r="F29" t="s">
        <v>1241</v>
      </c>
      <c r="G29" t="s">
        <v>31</v>
      </c>
      <c r="H29">
        <v>3</v>
      </c>
      <c r="I29">
        <v>146.31</v>
      </c>
      <c r="J29">
        <v>10</v>
      </c>
      <c r="K29">
        <v>395.04</v>
      </c>
      <c r="L29">
        <v>83.22</v>
      </c>
      <c r="M29">
        <v>249.66</v>
      </c>
      <c r="N29">
        <v>20</v>
      </c>
      <c r="O29" t="s">
        <v>26</v>
      </c>
      <c r="P29" t="s">
        <v>46</v>
      </c>
    </row>
    <row r="30" spans="1:16">
      <c r="A30">
        <v>100013</v>
      </c>
      <c r="B30" s="4">
        <v>45446</v>
      </c>
      <c r="C30" t="s">
        <v>153</v>
      </c>
      <c r="D30" t="s">
        <v>87</v>
      </c>
      <c r="E30" t="s">
        <v>25</v>
      </c>
      <c r="F30" t="s">
        <v>1241</v>
      </c>
      <c r="G30" t="s">
        <v>31</v>
      </c>
      <c r="H30">
        <v>5</v>
      </c>
      <c r="I30">
        <v>76.87</v>
      </c>
      <c r="J30">
        <v>0</v>
      </c>
      <c r="K30">
        <v>384.35</v>
      </c>
      <c r="L30">
        <v>134</v>
      </c>
      <c r="M30">
        <v>670</v>
      </c>
      <c r="N30">
        <v>36</v>
      </c>
      <c r="O30" t="s">
        <v>19</v>
      </c>
      <c r="P30" t="s">
        <v>35</v>
      </c>
    </row>
    <row r="31" spans="1:16">
      <c r="A31">
        <v>100598</v>
      </c>
      <c r="B31" s="4">
        <v>45109</v>
      </c>
      <c r="C31" t="s">
        <v>78</v>
      </c>
      <c r="D31" t="s">
        <v>42</v>
      </c>
      <c r="E31" t="s">
        <v>25</v>
      </c>
      <c r="F31" t="s">
        <v>1237</v>
      </c>
      <c r="G31" t="s">
        <v>31</v>
      </c>
      <c r="H31">
        <v>3</v>
      </c>
      <c r="I31">
        <v>136.5</v>
      </c>
      <c r="J31">
        <v>0</v>
      </c>
      <c r="K31">
        <v>409.5</v>
      </c>
      <c r="L31">
        <v>106.79</v>
      </c>
      <c r="M31">
        <v>320.37</v>
      </c>
      <c r="N31">
        <v>31</v>
      </c>
      <c r="O31" t="s">
        <v>19</v>
      </c>
      <c r="P31" t="s">
        <v>35</v>
      </c>
    </row>
    <row r="32" spans="1:16">
      <c r="A32">
        <v>100241</v>
      </c>
      <c r="B32" s="4">
        <v>45518</v>
      </c>
      <c r="C32" t="s">
        <v>1194</v>
      </c>
      <c r="D32" t="s">
        <v>100</v>
      </c>
      <c r="E32" t="s">
        <v>25</v>
      </c>
      <c r="F32" t="s">
        <v>1237</v>
      </c>
      <c r="G32" t="s">
        <v>18</v>
      </c>
      <c r="H32">
        <v>5</v>
      </c>
      <c r="I32">
        <v>126.81</v>
      </c>
      <c r="J32">
        <v>0</v>
      </c>
      <c r="K32">
        <v>634.04999999999995</v>
      </c>
      <c r="L32">
        <v>155.59</v>
      </c>
      <c r="M32">
        <v>777.95</v>
      </c>
      <c r="N32">
        <v>27</v>
      </c>
      <c r="O32" t="s">
        <v>19</v>
      </c>
      <c r="P32" t="s">
        <v>51</v>
      </c>
    </row>
    <row r="33" spans="1:16">
      <c r="A33">
        <v>100893</v>
      </c>
      <c r="B33" s="4">
        <v>45263</v>
      </c>
      <c r="C33" t="s">
        <v>80</v>
      </c>
      <c r="D33" t="s">
        <v>42</v>
      </c>
      <c r="E33" t="s">
        <v>25</v>
      </c>
      <c r="F33" t="s">
        <v>1239</v>
      </c>
      <c r="G33" t="s">
        <v>48</v>
      </c>
      <c r="H33">
        <v>5</v>
      </c>
      <c r="I33">
        <v>160.34</v>
      </c>
      <c r="J33">
        <v>10</v>
      </c>
      <c r="K33">
        <v>721.53</v>
      </c>
      <c r="L33">
        <v>215.58</v>
      </c>
      <c r="M33">
        <v>1077.9000000000001</v>
      </c>
      <c r="N33">
        <v>39</v>
      </c>
      <c r="O33" t="s">
        <v>26</v>
      </c>
      <c r="P33" t="s">
        <v>81</v>
      </c>
    </row>
    <row r="34" spans="1:16">
      <c r="A34">
        <v>100692</v>
      </c>
      <c r="B34" s="4">
        <v>45171</v>
      </c>
      <c r="C34" t="s">
        <v>82</v>
      </c>
      <c r="D34" t="s">
        <v>24</v>
      </c>
      <c r="E34" t="s">
        <v>25</v>
      </c>
      <c r="F34" t="s">
        <v>1237</v>
      </c>
      <c r="G34" t="s">
        <v>18</v>
      </c>
      <c r="H34">
        <v>3</v>
      </c>
      <c r="I34">
        <v>84.09</v>
      </c>
      <c r="J34">
        <v>10</v>
      </c>
      <c r="K34">
        <v>227.04</v>
      </c>
      <c r="L34">
        <v>53.17</v>
      </c>
      <c r="M34">
        <v>159.51</v>
      </c>
      <c r="N34">
        <v>30</v>
      </c>
      <c r="O34" t="s">
        <v>26</v>
      </c>
      <c r="P34" t="s">
        <v>81</v>
      </c>
    </row>
    <row r="35" spans="1:16">
      <c r="A35">
        <v>100776</v>
      </c>
      <c r="B35" s="4">
        <v>45707</v>
      </c>
      <c r="C35" t="s">
        <v>1193</v>
      </c>
      <c r="D35" t="s">
        <v>70</v>
      </c>
      <c r="E35" t="s">
        <v>25</v>
      </c>
      <c r="F35" t="s">
        <v>1241</v>
      </c>
      <c r="G35" t="s">
        <v>18</v>
      </c>
      <c r="H35">
        <v>3</v>
      </c>
      <c r="I35">
        <v>151.03</v>
      </c>
      <c r="J35">
        <v>0</v>
      </c>
      <c r="K35">
        <v>453.09</v>
      </c>
      <c r="L35">
        <v>119.01</v>
      </c>
      <c r="M35">
        <v>357.03000000000003</v>
      </c>
      <c r="N35">
        <v>31</v>
      </c>
      <c r="O35" t="s">
        <v>19</v>
      </c>
      <c r="P35" t="s">
        <v>81</v>
      </c>
    </row>
    <row r="36" spans="1:16">
      <c r="A36">
        <v>100564</v>
      </c>
      <c r="B36" s="4">
        <v>45175</v>
      </c>
      <c r="C36" t="s">
        <v>1192</v>
      </c>
      <c r="D36" t="s">
        <v>24</v>
      </c>
      <c r="E36" t="s">
        <v>25</v>
      </c>
      <c r="F36" t="s">
        <v>1238</v>
      </c>
      <c r="G36" t="s">
        <v>31</v>
      </c>
      <c r="H36">
        <v>3</v>
      </c>
      <c r="I36">
        <v>83.45</v>
      </c>
      <c r="J36">
        <v>40</v>
      </c>
      <c r="K36">
        <v>150.21</v>
      </c>
      <c r="L36">
        <v>23.79</v>
      </c>
      <c r="M36">
        <v>71.37</v>
      </c>
      <c r="N36">
        <v>33</v>
      </c>
      <c r="O36" t="s">
        <v>19</v>
      </c>
      <c r="P36" t="s">
        <v>27</v>
      </c>
    </row>
    <row r="37" spans="1:16">
      <c r="A37">
        <v>101183</v>
      </c>
      <c r="B37" s="4">
        <v>44995</v>
      </c>
      <c r="C37" t="s">
        <v>1189</v>
      </c>
      <c r="D37" t="s">
        <v>39</v>
      </c>
      <c r="E37" t="s">
        <v>25</v>
      </c>
      <c r="F37" t="s">
        <v>1239</v>
      </c>
      <c r="G37" t="s">
        <v>31</v>
      </c>
      <c r="H37">
        <v>1</v>
      </c>
      <c r="I37">
        <v>196.24</v>
      </c>
      <c r="J37">
        <v>20</v>
      </c>
      <c r="K37">
        <v>156.99</v>
      </c>
      <c r="L37">
        <v>48.09</v>
      </c>
      <c r="M37">
        <v>48.09</v>
      </c>
      <c r="N37">
        <v>36</v>
      </c>
      <c r="O37" t="s">
        <v>26</v>
      </c>
      <c r="P37" t="s">
        <v>27</v>
      </c>
    </row>
    <row r="38" spans="1:16">
      <c r="A38">
        <v>100427</v>
      </c>
      <c r="B38" s="4">
        <v>45043</v>
      </c>
      <c r="C38" t="s">
        <v>86</v>
      </c>
      <c r="D38" t="s">
        <v>87</v>
      </c>
      <c r="E38" t="s">
        <v>25</v>
      </c>
      <c r="F38" t="s">
        <v>1241</v>
      </c>
      <c r="G38" t="s">
        <v>18</v>
      </c>
      <c r="H38">
        <v>2</v>
      </c>
      <c r="I38">
        <v>87.17</v>
      </c>
      <c r="J38">
        <v>0</v>
      </c>
      <c r="K38">
        <v>174.34</v>
      </c>
      <c r="L38">
        <v>55.33</v>
      </c>
      <c r="M38">
        <v>110.66</v>
      </c>
      <c r="N38">
        <v>26</v>
      </c>
      <c r="O38" t="s">
        <v>19</v>
      </c>
      <c r="P38" t="s">
        <v>20</v>
      </c>
    </row>
    <row r="39" spans="1:16">
      <c r="A39">
        <v>100775</v>
      </c>
      <c r="B39" s="4">
        <v>45771</v>
      </c>
      <c r="C39" t="s">
        <v>1187</v>
      </c>
      <c r="D39" t="s">
        <v>42</v>
      </c>
      <c r="E39" t="s">
        <v>25</v>
      </c>
      <c r="F39" t="s">
        <v>1238</v>
      </c>
      <c r="G39" t="s">
        <v>18</v>
      </c>
      <c r="H39">
        <v>3</v>
      </c>
      <c r="I39">
        <v>153.41</v>
      </c>
      <c r="J39">
        <v>0</v>
      </c>
      <c r="K39">
        <v>460.23</v>
      </c>
      <c r="L39">
        <v>136.68</v>
      </c>
      <c r="M39">
        <v>410.04</v>
      </c>
      <c r="N39">
        <v>39</v>
      </c>
      <c r="O39" t="s">
        <v>19</v>
      </c>
      <c r="P39" t="s">
        <v>43</v>
      </c>
    </row>
    <row r="40" spans="1:16">
      <c r="A40">
        <v>100321</v>
      </c>
      <c r="B40" s="4">
        <v>45924</v>
      </c>
      <c r="C40" t="s">
        <v>89</v>
      </c>
      <c r="D40" t="s">
        <v>68</v>
      </c>
      <c r="E40" t="s">
        <v>25</v>
      </c>
      <c r="F40" t="s">
        <v>1238</v>
      </c>
      <c r="G40" t="s">
        <v>31</v>
      </c>
      <c r="H40">
        <v>4</v>
      </c>
      <c r="I40">
        <v>233.68</v>
      </c>
      <c r="J40">
        <v>0</v>
      </c>
      <c r="K40">
        <v>934.72</v>
      </c>
      <c r="L40">
        <v>328.49</v>
      </c>
      <c r="M40">
        <v>1313.96</v>
      </c>
      <c r="N40">
        <v>19</v>
      </c>
      <c r="O40" t="s">
        <v>19</v>
      </c>
      <c r="P40" t="s">
        <v>27</v>
      </c>
    </row>
    <row r="41" spans="1:16">
      <c r="A41">
        <v>100205</v>
      </c>
      <c r="B41" s="4">
        <v>45439</v>
      </c>
      <c r="C41" t="s">
        <v>1185</v>
      </c>
      <c r="D41" t="s">
        <v>70</v>
      </c>
      <c r="E41" t="s">
        <v>25</v>
      </c>
      <c r="F41" t="s">
        <v>1241</v>
      </c>
      <c r="G41" t="s">
        <v>18</v>
      </c>
      <c r="H41">
        <v>1</v>
      </c>
      <c r="I41">
        <v>145.81</v>
      </c>
      <c r="J41">
        <v>10</v>
      </c>
      <c r="K41">
        <v>131.22999999999999</v>
      </c>
      <c r="L41">
        <v>44.93</v>
      </c>
      <c r="M41">
        <v>44.93</v>
      </c>
      <c r="N41">
        <v>39</v>
      </c>
      <c r="O41" t="s">
        <v>26</v>
      </c>
      <c r="P41" t="s">
        <v>46</v>
      </c>
    </row>
    <row r="42" spans="1:16">
      <c r="A42">
        <v>101065</v>
      </c>
      <c r="B42" s="4">
        <v>45757</v>
      </c>
      <c r="C42" t="s">
        <v>91</v>
      </c>
      <c r="D42" t="s">
        <v>24</v>
      </c>
      <c r="E42" t="s">
        <v>25</v>
      </c>
      <c r="F42" t="s">
        <v>1239</v>
      </c>
      <c r="G42" t="s">
        <v>64</v>
      </c>
      <c r="H42">
        <v>7</v>
      </c>
      <c r="I42">
        <v>95.23</v>
      </c>
      <c r="J42">
        <v>0</v>
      </c>
      <c r="K42">
        <v>666.61</v>
      </c>
      <c r="L42">
        <v>186.65</v>
      </c>
      <c r="M42">
        <v>1306.55</v>
      </c>
      <c r="N42">
        <v>24</v>
      </c>
      <c r="O42" t="s">
        <v>19</v>
      </c>
      <c r="P42" t="s">
        <v>35</v>
      </c>
    </row>
    <row r="43" spans="1:16">
      <c r="A43">
        <v>101104</v>
      </c>
      <c r="B43" s="4">
        <v>44941</v>
      </c>
      <c r="C43" t="s">
        <v>1184</v>
      </c>
      <c r="D43" t="s">
        <v>68</v>
      </c>
      <c r="E43" t="s">
        <v>25</v>
      </c>
      <c r="F43" t="s">
        <v>1240</v>
      </c>
      <c r="G43" t="s">
        <v>31</v>
      </c>
      <c r="H43">
        <v>3</v>
      </c>
      <c r="I43">
        <v>217.49</v>
      </c>
      <c r="J43">
        <v>0</v>
      </c>
      <c r="K43">
        <v>652.47</v>
      </c>
      <c r="L43">
        <v>140.63999999999999</v>
      </c>
      <c r="M43">
        <v>421.91999999999996</v>
      </c>
      <c r="N43">
        <v>18</v>
      </c>
      <c r="O43" t="s">
        <v>26</v>
      </c>
      <c r="P43" t="s">
        <v>32</v>
      </c>
    </row>
    <row r="44" spans="1:16">
      <c r="A44">
        <v>101025</v>
      </c>
      <c r="B44" s="4">
        <v>45129</v>
      </c>
      <c r="C44" t="s">
        <v>1183</v>
      </c>
      <c r="D44" t="s">
        <v>24</v>
      </c>
      <c r="E44" t="s">
        <v>25</v>
      </c>
      <c r="F44" t="s">
        <v>1239</v>
      </c>
      <c r="G44" t="s">
        <v>18</v>
      </c>
      <c r="H44">
        <v>2</v>
      </c>
      <c r="I44">
        <v>97.9</v>
      </c>
      <c r="J44">
        <v>0</v>
      </c>
      <c r="K44">
        <v>195.8</v>
      </c>
      <c r="L44">
        <v>57.08</v>
      </c>
      <c r="M44">
        <v>114.16</v>
      </c>
      <c r="N44">
        <v>43</v>
      </c>
      <c r="O44" t="s">
        <v>19</v>
      </c>
      <c r="P44" t="s">
        <v>81</v>
      </c>
    </row>
    <row r="45" spans="1:16">
      <c r="A45">
        <v>100355</v>
      </c>
      <c r="B45" s="4">
        <v>45910</v>
      </c>
      <c r="C45" t="s">
        <v>94</v>
      </c>
      <c r="D45" t="s">
        <v>24</v>
      </c>
      <c r="E45" t="s">
        <v>25</v>
      </c>
      <c r="F45" t="s">
        <v>1240</v>
      </c>
      <c r="G45" t="s">
        <v>18</v>
      </c>
      <c r="H45">
        <v>2</v>
      </c>
      <c r="I45">
        <v>97.13</v>
      </c>
      <c r="J45">
        <v>5</v>
      </c>
      <c r="K45">
        <v>184.55</v>
      </c>
      <c r="L45">
        <v>50.99</v>
      </c>
      <c r="M45">
        <v>101.98</v>
      </c>
      <c r="N45">
        <v>29</v>
      </c>
      <c r="O45" t="s">
        <v>26</v>
      </c>
      <c r="P45" t="s">
        <v>20</v>
      </c>
    </row>
    <row r="46" spans="1:16">
      <c r="A46">
        <v>101129</v>
      </c>
      <c r="B46" s="4">
        <v>45871</v>
      </c>
      <c r="C46" t="s">
        <v>1180</v>
      </c>
      <c r="D46" t="s">
        <v>73</v>
      </c>
      <c r="E46" t="s">
        <v>25</v>
      </c>
      <c r="F46" t="s">
        <v>1241</v>
      </c>
      <c r="G46" t="s">
        <v>48</v>
      </c>
      <c r="H46">
        <v>3</v>
      </c>
      <c r="I46">
        <v>33.840000000000003</v>
      </c>
      <c r="J46">
        <v>40</v>
      </c>
      <c r="K46">
        <v>60.91</v>
      </c>
      <c r="L46">
        <v>19.8</v>
      </c>
      <c r="M46">
        <v>59.400000000000006</v>
      </c>
      <c r="N46">
        <v>22</v>
      </c>
      <c r="O46" t="s">
        <v>19</v>
      </c>
      <c r="P46" t="s">
        <v>32</v>
      </c>
    </row>
    <row r="47" spans="1:16">
      <c r="A47">
        <v>100342</v>
      </c>
      <c r="B47" s="4">
        <v>44939</v>
      </c>
      <c r="C47" t="s">
        <v>96</v>
      </c>
      <c r="D47" t="s">
        <v>70</v>
      </c>
      <c r="E47" t="s">
        <v>25</v>
      </c>
      <c r="F47" t="s">
        <v>1240</v>
      </c>
      <c r="G47" t="s">
        <v>18</v>
      </c>
      <c r="H47">
        <v>4</v>
      </c>
      <c r="I47">
        <v>128.36000000000001</v>
      </c>
      <c r="J47">
        <v>0</v>
      </c>
      <c r="K47">
        <v>513.44000000000005</v>
      </c>
      <c r="L47">
        <v>113.36</v>
      </c>
      <c r="M47">
        <v>453.44</v>
      </c>
      <c r="N47">
        <v>26</v>
      </c>
      <c r="O47" t="s">
        <v>19</v>
      </c>
      <c r="P47" t="s">
        <v>43</v>
      </c>
    </row>
    <row r="48" spans="1:16">
      <c r="A48">
        <v>100354</v>
      </c>
      <c r="B48" s="4">
        <v>45661</v>
      </c>
      <c r="C48" t="s">
        <v>97</v>
      </c>
      <c r="D48" t="s">
        <v>42</v>
      </c>
      <c r="E48" t="s">
        <v>25</v>
      </c>
      <c r="F48" t="s">
        <v>1239</v>
      </c>
      <c r="G48" t="s">
        <v>18</v>
      </c>
      <c r="H48">
        <v>2</v>
      </c>
      <c r="I48">
        <v>172.35</v>
      </c>
      <c r="J48">
        <v>0</v>
      </c>
      <c r="K48">
        <v>344.7</v>
      </c>
      <c r="L48">
        <v>131.25</v>
      </c>
      <c r="M48">
        <v>262.5</v>
      </c>
      <c r="N48">
        <v>29</v>
      </c>
      <c r="O48" t="s">
        <v>26</v>
      </c>
      <c r="P48" t="s">
        <v>35</v>
      </c>
    </row>
    <row r="49" spans="1:16">
      <c r="A49">
        <v>100401</v>
      </c>
      <c r="B49" s="4">
        <v>45731</v>
      </c>
      <c r="C49" t="s">
        <v>1178</v>
      </c>
      <c r="D49" t="s">
        <v>24</v>
      </c>
      <c r="E49" t="s">
        <v>25</v>
      </c>
      <c r="F49" t="s">
        <v>1238</v>
      </c>
      <c r="G49" t="s">
        <v>18</v>
      </c>
      <c r="H49">
        <v>2</v>
      </c>
      <c r="I49">
        <v>96.46</v>
      </c>
      <c r="J49">
        <v>10</v>
      </c>
      <c r="K49">
        <v>173.63</v>
      </c>
      <c r="L49">
        <v>60.6</v>
      </c>
      <c r="M49">
        <v>121.2</v>
      </c>
      <c r="N49">
        <v>24</v>
      </c>
      <c r="O49" t="s">
        <v>26</v>
      </c>
      <c r="P49" t="s">
        <v>46</v>
      </c>
    </row>
    <row r="50" spans="1:16">
      <c r="A50">
        <v>100043</v>
      </c>
      <c r="B50" s="4">
        <v>45373</v>
      </c>
      <c r="C50" t="s">
        <v>99</v>
      </c>
      <c r="D50" t="s">
        <v>100</v>
      </c>
      <c r="E50" t="s">
        <v>25</v>
      </c>
      <c r="F50" t="s">
        <v>1241</v>
      </c>
      <c r="G50" t="s">
        <v>48</v>
      </c>
      <c r="H50">
        <v>5</v>
      </c>
      <c r="I50">
        <v>123.22</v>
      </c>
      <c r="J50">
        <v>0</v>
      </c>
      <c r="K50">
        <v>616.1</v>
      </c>
      <c r="L50">
        <v>217.11</v>
      </c>
      <c r="M50">
        <v>1085.5500000000002</v>
      </c>
      <c r="N50">
        <v>24</v>
      </c>
      <c r="O50" t="s">
        <v>26</v>
      </c>
      <c r="P50" t="s">
        <v>81</v>
      </c>
    </row>
    <row r="51" spans="1:16">
      <c r="A51">
        <v>100729</v>
      </c>
      <c r="B51" s="4">
        <v>45154</v>
      </c>
      <c r="C51" t="s">
        <v>1177</v>
      </c>
      <c r="D51" t="s">
        <v>68</v>
      </c>
      <c r="E51" t="s">
        <v>25</v>
      </c>
      <c r="F51" t="s">
        <v>1241</v>
      </c>
      <c r="G51" t="s">
        <v>18</v>
      </c>
      <c r="H51">
        <v>2</v>
      </c>
      <c r="I51">
        <v>226.68</v>
      </c>
      <c r="J51">
        <v>0</v>
      </c>
      <c r="K51">
        <v>453.36</v>
      </c>
      <c r="L51">
        <v>173.84</v>
      </c>
      <c r="M51">
        <v>347.68</v>
      </c>
      <c r="N51">
        <v>22</v>
      </c>
      <c r="O51" t="s">
        <v>26</v>
      </c>
      <c r="P51" t="s">
        <v>35</v>
      </c>
    </row>
    <row r="52" spans="1:16">
      <c r="A52">
        <v>100995</v>
      </c>
      <c r="B52" s="4">
        <v>45236</v>
      </c>
      <c r="C52" t="s">
        <v>1174</v>
      </c>
      <c r="D52" t="s">
        <v>100</v>
      </c>
      <c r="E52" t="s">
        <v>25</v>
      </c>
      <c r="F52" t="s">
        <v>1237</v>
      </c>
      <c r="G52" t="s">
        <v>18</v>
      </c>
      <c r="H52">
        <v>3</v>
      </c>
      <c r="I52">
        <v>127.71</v>
      </c>
      <c r="J52">
        <v>0</v>
      </c>
      <c r="K52">
        <v>383.13</v>
      </c>
      <c r="L52">
        <v>127.48</v>
      </c>
      <c r="M52">
        <v>382.44</v>
      </c>
      <c r="N52">
        <v>30</v>
      </c>
      <c r="O52" t="s">
        <v>19</v>
      </c>
      <c r="P52" t="s">
        <v>27</v>
      </c>
    </row>
    <row r="53" spans="1:16">
      <c r="A53">
        <v>101135</v>
      </c>
      <c r="B53" s="4">
        <v>45502</v>
      </c>
      <c r="C53" t="s">
        <v>103</v>
      </c>
      <c r="D53" t="s">
        <v>24</v>
      </c>
      <c r="E53" t="s">
        <v>25</v>
      </c>
      <c r="F53" t="s">
        <v>1237</v>
      </c>
      <c r="G53" t="s">
        <v>31</v>
      </c>
      <c r="H53">
        <v>2</v>
      </c>
      <c r="I53">
        <v>99.59</v>
      </c>
      <c r="J53">
        <v>5</v>
      </c>
      <c r="K53">
        <v>189.22</v>
      </c>
      <c r="L53">
        <v>63.97</v>
      </c>
      <c r="M53">
        <v>127.94</v>
      </c>
      <c r="N53">
        <v>36</v>
      </c>
      <c r="O53" t="s">
        <v>26</v>
      </c>
      <c r="P53" t="s">
        <v>20</v>
      </c>
    </row>
    <row r="54" spans="1:16">
      <c r="A54">
        <v>100269</v>
      </c>
      <c r="B54" s="4">
        <v>45032</v>
      </c>
      <c r="C54" t="s">
        <v>1173</v>
      </c>
      <c r="D54" t="s">
        <v>39</v>
      </c>
      <c r="E54" t="s">
        <v>25</v>
      </c>
      <c r="F54" t="s">
        <v>1237</v>
      </c>
      <c r="G54" t="s">
        <v>31</v>
      </c>
      <c r="H54">
        <v>4</v>
      </c>
      <c r="I54">
        <v>205.91</v>
      </c>
      <c r="J54">
        <v>10</v>
      </c>
      <c r="K54">
        <v>741.28</v>
      </c>
      <c r="L54">
        <v>243.02</v>
      </c>
      <c r="M54">
        <v>972.08</v>
      </c>
      <c r="N54">
        <v>28</v>
      </c>
      <c r="O54" t="s">
        <v>19</v>
      </c>
      <c r="P54" t="s">
        <v>32</v>
      </c>
    </row>
    <row r="55" spans="1:16">
      <c r="A55">
        <v>100455</v>
      </c>
      <c r="B55" s="4">
        <v>45768</v>
      </c>
      <c r="C55" t="s">
        <v>1171</v>
      </c>
      <c r="D55" t="s">
        <v>39</v>
      </c>
      <c r="E55" t="s">
        <v>25</v>
      </c>
      <c r="F55" t="s">
        <v>1238</v>
      </c>
      <c r="G55" t="s">
        <v>18</v>
      </c>
      <c r="H55">
        <v>2</v>
      </c>
      <c r="I55">
        <v>196.84</v>
      </c>
      <c r="J55">
        <v>5</v>
      </c>
      <c r="K55">
        <v>374</v>
      </c>
      <c r="L55">
        <v>83.57</v>
      </c>
      <c r="M55">
        <v>167.14</v>
      </c>
      <c r="N55">
        <v>34</v>
      </c>
      <c r="O55" t="s">
        <v>26</v>
      </c>
      <c r="P55" t="s">
        <v>20</v>
      </c>
    </row>
    <row r="56" spans="1:16">
      <c r="A56">
        <v>100295</v>
      </c>
      <c r="B56" s="4">
        <v>45098</v>
      </c>
      <c r="C56" t="s">
        <v>1169</v>
      </c>
      <c r="D56" t="s">
        <v>24</v>
      </c>
      <c r="E56" t="s">
        <v>25</v>
      </c>
      <c r="F56" t="s">
        <v>1237</v>
      </c>
      <c r="G56" t="s">
        <v>18</v>
      </c>
      <c r="H56">
        <v>2</v>
      </c>
      <c r="I56">
        <v>106.92</v>
      </c>
      <c r="J56">
        <v>0</v>
      </c>
      <c r="K56">
        <v>213.84</v>
      </c>
      <c r="L56">
        <v>58.53</v>
      </c>
      <c r="M56">
        <v>117.06</v>
      </c>
      <c r="N56">
        <v>29</v>
      </c>
      <c r="O56" t="s">
        <v>26</v>
      </c>
      <c r="P56" t="s">
        <v>51</v>
      </c>
    </row>
    <row r="57" spans="1:16">
      <c r="A57">
        <v>100719</v>
      </c>
      <c r="B57" s="4">
        <v>45156</v>
      </c>
      <c r="C57" t="s">
        <v>1168</v>
      </c>
      <c r="D57" t="s">
        <v>39</v>
      </c>
      <c r="E57" t="s">
        <v>25</v>
      </c>
      <c r="F57" t="s">
        <v>1241</v>
      </c>
      <c r="G57" t="s">
        <v>18</v>
      </c>
      <c r="H57">
        <v>3</v>
      </c>
      <c r="I57">
        <v>159.36000000000001</v>
      </c>
      <c r="J57">
        <v>0</v>
      </c>
      <c r="K57">
        <v>478.08</v>
      </c>
      <c r="L57">
        <v>135.58000000000001</v>
      </c>
      <c r="M57">
        <v>406.74</v>
      </c>
      <c r="N57">
        <v>36</v>
      </c>
      <c r="O57" t="s">
        <v>19</v>
      </c>
      <c r="P57" t="s">
        <v>46</v>
      </c>
    </row>
    <row r="58" spans="1:16">
      <c r="A58">
        <v>101076</v>
      </c>
      <c r="B58" s="4">
        <v>45220</v>
      </c>
      <c r="C58" t="s">
        <v>1165</v>
      </c>
      <c r="D58" t="s">
        <v>87</v>
      </c>
      <c r="E58" t="s">
        <v>25</v>
      </c>
      <c r="F58" t="s">
        <v>1239</v>
      </c>
      <c r="G58" t="s">
        <v>18</v>
      </c>
      <c r="H58">
        <v>4</v>
      </c>
      <c r="I58">
        <v>85.14</v>
      </c>
      <c r="J58">
        <v>20</v>
      </c>
      <c r="K58">
        <v>272.45</v>
      </c>
      <c r="L58">
        <v>61.77</v>
      </c>
      <c r="M58">
        <v>247.08</v>
      </c>
      <c r="N58">
        <v>26</v>
      </c>
      <c r="O58" t="s">
        <v>19</v>
      </c>
      <c r="P58" t="s">
        <v>35</v>
      </c>
    </row>
    <row r="59" spans="1:16">
      <c r="A59">
        <v>101172</v>
      </c>
      <c r="B59" s="4">
        <v>45903</v>
      </c>
      <c r="C59" t="s">
        <v>109</v>
      </c>
      <c r="D59" t="s">
        <v>24</v>
      </c>
      <c r="E59" t="s">
        <v>25</v>
      </c>
      <c r="F59" t="s">
        <v>1241</v>
      </c>
      <c r="G59" t="s">
        <v>31</v>
      </c>
      <c r="H59">
        <v>2</v>
      </c>
      <c r="I59">
        <v>82.12</v>
      </c>
      <c r="J59">
        <v>0</v>
      </c>
      <c r="K59">
        <v>164.24</v>
      </c>
      <c r="L59">
        <v>57.54</v>
      </c>
      <c r="M59">
        <v>115.08</v>
      </c>
      <c r="N59">
        <v>51</v>
      </c>
      <c r="O59" t="s">
        <v>26</v>
      </c>
      <c r="P59" t="s">
        <v>27</v>
      </c>
    </row>
    <row r="60" spans="1:16">
      <c r="A60">
        <v>101001</v>
      </c>
      <c r="B60" s="4">
        <v>45595</v>
      </c>
      <c r="C60" t="s">
        <v>110</v>
      </c>
      <c r="D60" t="s">
        <v>42</v>
      </c>
      <c r="E60" t="s">
        <v>25</v>
      </c>
      <c r="F60" t="s">
        <v>1241</v>
      </c>
      <c r="G60" t="s">
        <v>31</v>
      </c>
      <c r="H60">
        <v>3</v>
      </c>
      <c r="I60">
        <v>131.82</v>
      </c>
      <c r="J60">
        <v>10</v>
      </c>
      <c r="K60">
        <v>355.91</v>
      </c>
      <c r="L60">
        <v>114.03</v>
      </c>
      <c r="M60">
        <v>342.09000000000003</v>
      </c>
      <c r="N60">
        <v>32</v>
      </c>
      <c r="O60" t="s">
        <v>26</v>
      </c>
      <c r="P60" t="s">
        <v>27</v>
      </c>
    </row>
    <row r="61" spans="1:16">
      <c r="A61">
        <v>100763</v>
      </c>
      <c r="B61" s="4">
        <v>45359</v>
      </c>
      <c r="C61" t="s">
        <v>1162</v>
      </c>
      <c r="D61" t="s">
        <v>70</v>
      </c>
      <c r="E61" t="s">
        <v>25</v>
      </c>
      <c r="F61" t="s">
        <v>1241</v>
      </c>
      <c r="G61" t="s">
        <v>18</v>
      </c>
      <c r="H61">
        <v>1</v>
      </c>
      <c r="I61">
        <v>150.6</v>
      </c>
      <c r="J61">
        <v>20</v>
      </c>
      <c r="K61">
        <v>120.48</v>
      </c>
      <c r="L61">
        <v>44.04</v>
      </c>
      <c r="M61">
        <v>44.04</v>
      </c>
      <c r="N61">
        <v>28</v>
      </c>
      <c r="O61" t="s">
        <v>19</v>
      </c>
      <c r="P61" t="s">
        <v>20</v>
      </c>
    </row>
    <row r="62" spans="1:16">
      <c r="A62">
        <v>100309</v>
      </c>
      <c r="B62" s="4">
        <v>45607</v>
      </c>
      <c r="C62" t="s">
        <v>112</v>
      </c>
      <c r="D62" t="s">
        <v>42</v>
      </c>
      <c r="E62" t="s">
        <v>25</v>
      </c>
      <c r="F62" t="s">
        <v>1237</v>
      </c>
      <c r="G62" t="s">
        <v>31</v>
      </c>
      <c r="H62">
        <v>4</v>
      </c>
      <c r="I62">
        <v>151.44999999999999</v>
      </c>
      <c r="J62">
        <v>10</v>
      </c>
      <c r="K62">
        <v>545.22</v>
      </c>
      <c r="L62">
        <v>165.42</v>
      </c>
      <c r="M62">
        <v>661.68</v>
      </c>
      <c r="N62">
        <v>36</v>
      </c>
      <c r="O62" t="s">
        <v>19</v>
      </c>
      <c r="P62" t="s">
        <v>32</v>
      </c>
    </row>
    <row r="63" spans="1:16">
      <c r="A63">
        <v>100155</v>
      </c>
      <c r="B63" s="4">
        <v>45523</v>
      </c>
      <c r="C63" t="s">
        <v>113</v>
      </c>
      <c r="D63" t="s">
        <v>68</v>
      </c>
      <c r="E63" t="s">
        <v>25</v>
      </c>
      <c r="F63" t="s">
        <v>1238</v>
      </c>
      <c r="G63" t="s">
        <v>31</v>
      </c>
      <c r="H63">
        <v>2</v>
      </c>
      <c r="I63">
        <v>210.8</v>
      </c>
      <c r="J63">
        <v>0</v>
      </c>
      <c r="K63">
        <v>421.6</v>
      </c>
      <c r="L63">
        <v>98.14</v>
      </c>
      <c r="M63">
        <v>196.28</v>
      </c>
      <c r="N63">
        <v>22</v>
      </c>
      <c r="O63" t="s">
        <v>19</v>
      </c>
      <c r="P63" t="s">
        <v>35</v>
      </c>
    </row>
    <row r="64" spans="1:16">
      <c r="A64">
        <v>100210</v>
      </c>
      <c r="B64" s="4">
        <v>45122</v>
      </c>
      <c r="C64" t="s">
        <v>114</v>
      </c>
      <c r="D64" t="s">
        <v>39</v>
      </c>
      <c r="E64" t="s">
        <v>25</v>
      </c>
      <c r="F64" t="s">
        <v>1238</v>
      </c>
      <c r="G64" t="s">
        <v>18</v>
      </c>
      <c r="H64">
        <v>3</v>
      </c>
      <c r="I64">
        <v>166.49</v>
      </c>
      <c r="J64">
        <v>5</v>
      </c>
      <c r="K64">
        <v>474.5</v>
      </c>
      <c r="L64">
        <v>157.63999999999999</v>
      </c>
      <c r="M64">
        <v>472.91999999999996</v>
      </c>
      <c r="N64">
        <v>25</v>
      </c>
      <c r="O64" t="s">
        <v>26</v>
      </c>
      <c r="P64" t="s">
        <v>46</v>
      </c>
    </row>
    <row r="65" spans="1:16">
      <c r="A65">
        <v>100086</v>
      </c>
      <c r="B65" s="4">
        <v>44953</v>
      </c>
      <c r="C65" t="s">
        <v>115</v>
      </c>
      <c r="D65" t="s">
        <v>24</v>
      </c>
      <c r="E65" t="s">
        <v>25</v>
      </c>
      <c r="F65" t="s">
        <v>1237</v>
      </c>
      <c r="G65" t="s">
        <v>48</v>
      </c>
      <c r="H65">
        <v>4</v>
      </c>
      <c r="I65">
        <v>91.09</v>
      </c>
      <c r="J65">
        <v>20</v>
      </c>
      <c r="K65">
        <v>291.49</v>
      </c>
      <c r="L65">
        <v>72.010000000000005</v>
      </c>
      <c r="M65">
        <v>288.04000000000002</v>
      </c>
      <c r="N65">
        <v>25</v>
      </c>
      <c r="O65" t="s">
        <v>19</v>
      </c>
      <c r="P65" t="s">
        <v>81</v>
      </c>
    </row>
    <row r="66" spans="1:16">
      <c r="A66">
        <v>100168</v>
      </c>
      <c r="B66" s="4">
        <v>45189</v>
      </c>
      <c r="C66" t="s">
        <v>116</v>
      </c>
      <c r="D66" t="s">
        <v>73</v>
      </c>
      <c r="E66" t="s">
        <v>25</v>
      </c>
      <c r="F66" t="s">
        <v>1238</v>
      </c>
      <c r="G66" t="s">
        <v>31</v>
      </c>
      <c r="H66">
        <v>3</v>
      </c>
      <c r="I66">
        <v>37.99</v>
      </c>
      <c r="J66">
        <v>0</v>
      </c>
      <c r="K66">
        <v>113.97</v>
      </c>
      <c r="L66">
        <v>40.85</v>
      </c>
      <c r="M66">
        <v>122.55000000000001</v>
      </c>
      <c r="N66">
        <v>27</v>
      </c>
      <c r="O66" t="s">
        <v>26</v>
      </c>
      <c r="P66" t="s">
        <v>27</v>
      </c>
    </row>
    <row r="67" spans="1:16">
      <c r="A67">
        <v>100492</v>
      </c>
      <c r="B67" s="4">
        <v>45729</v>
      </c>
      <c r="C67" t="s">
        <v>1159</v>
      </c>
      <c r="D67" t="s">
        <v>100</v>
      </c>
      <c r="E67" t="s">
        <v>25</v>
      </c>
      <c r="F67" t="s">
        <v>1237</v>
      </c>
      <c r="G67" t="s">
        <v>31</v>
      </c>
      <c r="H67">
        <v>3</v>
      </c>
      <c r="I67">
        <v>122.51</v>
      </c>
      <c r="J67">
        <v>0</v>
      </c>
      <c r="K67">
        <v>367.53</v>
      </c>
      <c r="L67">
        <v>119.98</v>
      </c>
      <c r="M67">
        <v>359.94</v>
      </c>
      <c r="N67">
        <v>31</v>
      </c>
      <c r="O67" t="s">
        <v>19</v>
      </c>
      <c r="P67" t="s">
        <v>43</v>
      </c>
    </row>
    <row r="68" spans="1:16">
      <c r="A68">
        <v>100051</v>
      </c>
      <c r="B68" s="4">
        <v>45598</v>
      </c>
      <c r="C68" t="s">
        <v>118</v>
      </c>
      <c r="D68" t="s">
        <v>39</v>
      </c>
      <c r="E68" t="s">
        <v>25</v>
      </c>
      <c r="F68" t="s">
        <v>1239</v>
      </c>
      <c r="G68" t="s">
        <v>48</v>
      </c>
      <c r="H68">
        <v>2</v>
      </c>
      <c r="I68">
        <v>193.1</v>
      </c>
      <c r="J68">
        <v>0</v>
      </c>
      <c r="K68">
        <v>386.2</v>
      </c>
      <c r="L68">
        <v>111.95</v>
      </c>
      <c r="M68">
        <v>223.9</v>
      </c>
      <c r="N68">
        <v>30</v>
      </c>
      <c r="O68" t="s">
        <v>19</v>
      </c>
      <c r="P68" t="s">
        <v>51</v>
      </c>
    </row>
    <row r="69" spans="1:16">
      <c r="A69">
        <v>100438</v>
      </c>
      <c r="B69" s="4">
        <v>45695</v>
      </c>
      <c r="C69" t="s">
        <v>119</v>
      </c>
      <c r="D69" t="s">
        <v>42</v>
      </c>
      <c r="E69" t="s">
        <v>25</v>
      </c>
      <c r="F69" t="s">
        <v>1237</v>
      </c>
      <c r="G69" t="s">
        <v>18</v>
      </c>
      <c r="H69">
        <v>2</v>
      </c>
      <c r="I69">
        <v>168.9</v>
      </c>
      <c r="J69">
        <v>0</v>
      </c>
      <c r="K69">
        <v>337.8</v>
      </c>
      <c r="L69">
        <v>115.68</v>
      </c>
      <c r="M69">
        <v>231.36</v>
      </c>
      <c r="N69">
        <v>17</v>
      </c>
      <c r="O69" t="s">
        <v>26</v>
      </c>
      <c r="P69" t="s">
        <v>20</v>
      </c>
    </row>
    <row r="70" spans="1:16">
      <c r="A70">
        <v>100520</v>
      </c>
      <c r="B70" s="4">
        <v>45559</v>
      </c>
      <c r="C70" t="s">
        <v>1155</v>
      </c>
      <c r="D70" t="s">
        <v>68</v>
      </c>
      <c r="E70" t="s">
        <v>25</v>
      </c>
      <c r="F70" t="s">
        <v>1240</v>
      </c>
      <c r="G70" t="s">
        <v>18</v>
      </c>
      <c r="H70">
        <v>2</v>
      </c>
      <c r="I70">
        <v>209.22</v>
      </c>
      <c r="J70">
        <v>10</v>
      </c>
      <c r="K70">
        <v>376.6</v>
      </c>
      <c r="L70">
        <v>132.79</v>
      </c>
      <c r="M70">
        <v>265.58</v>
      </c>
      <c r="N70">
        <v>26</v>
      </c>
      <c r="O70" t="s">
        <v>26</v>
      </c>
      <c r="P70" t="s">
        <v>20</v>
      </c>
    </row>
    <row r="71" spans="1:16">
      <c r="A71">
        <v>100592</v>
      </c>
      <c r="B71" s="4">
        <v>44971</v>
      </c>
      <c r="C71" t="s">
        <v>1152</v>
      </c>
      <c r="D71" t="s">
        <v>42</v>
      </c>
      <c r="E71" t="s">
        <v>25</v>
      </c>
      <c r="F71" t="s">
        <v>1237</v>
      </c>
      <c r="G71" t="s">
        <v>31</v>
      </c>
      <c r="H71">
        <v>2</v>
      </c>
      <c r="I71">
        <v>145.22</v>
      </c>
      <c r="J71">
        <v>0</v>
      </c>
      <c r="K71">
        <v>290.44</v>
      </c>
      <c r="L71">
        <v>61.69</v>
      </c>
      <c r="M71">
        <v>123.38</v>
      </c>
      <c r="N71">
        <v>29</v>
      </c>
      <c r="O71" t="s">
        <v>26</v>
      </c>
      <c r="P71" t="s">
        <v>35</v>
      </c>
    </row>
    <row r="72" spans="1:16">
      <c r="A72">
        <v>100425</v>
      </c>
      <c r="B72" s="4">
        <v>45772</v>
      </c>
      <c r="C72" t="s">
        <v>123</v>
      </c>
      <c r="D72" t="s">
        <v>24</v>
      </c>
      <c r="E72" t="s">
        <v>25</v>
      </c>
      <c r="F72" t="s">
        <v>1240</v>
      </c>
      <c r="G72" t="s">
        <v>31</v>
      </c>
      <c r="H72">
        <v>2</v>
      </c>
      <c r="I72">
        <v>91.8</v>
      </c>
      <c r="J72">
        <v>0</v>
      </c>
      <c r="K72">
        <v>183.6</v>
      </c>
      <c r="L72">
        <v>31.17</v>
      </c>
      <c r="M72">
        <v>62.34</v>
      </c>
      <c r="N72">
        <v>31</v>
      </c>
      <c r="O72" t="s">
        <v>19</v>
      </c>
      <c r="P72" t="s">
        <v>51</v>
      </c>
    </row>
    <row r="73" spans="1:16">
      <c r="A73">
        <v>100288</v>
      </c>
      <c r="B73" s="4">
        <v>45212</v>
      </c>
      <c r="C73" t="s">
        <v>1149</v>
      </c>
      <c r="D73" t="s">
        <v>24</v>
      </c>
      <c r="E73" t="s">
        <v>25</v>
      </c>
      <c r="F73" t="s">
        <v>1237</v>
      </c>
      <c r="G73" t="s">
        <v>31</v>
      </c>
      <c r="H73">
        <v>4</v>
      </c>
      <c r="I73">
        <v>96.44</v>
      </c>
      <c r="J73">
        <v>0</v>
      </c>
      <c r="K73">
        <v>385.76</v>
      </c>
      <c r="L73">
        <v>126.85</v>
      </c>
      <c r="M73">
        <v>507.4</v>
      </c>
      <c r="N73">
        <v>39</v>
      </c>
      <c r="O73" t="s">
        <v>26</v>
      </c>
      <c r="P73" t="s">
        <v>51</v>
      </c>
    </row>
    <row r="74" spans="1:16">
      <c r="A74">
        <v>100200</v>
      </c>
      <c r="B74" s="4">
        <v>45436</v>
      </c>
      <c r="C74" t="s">
        <v>1143</v>
      </c>
      <c r="D74" t="s">
        <v>39</v>
      </c>
      <c r="E74" t="s">
        <v>25</v>
      </c>
      <c r="F74" t="s">
        <v>1238</v>
      </c>
      <c r="G74" t="s">
        <v>31</v>
      </c>
      <c r="H74">
        <v>4</v>
      </c>
      <c r="I74">
        <v>172.08</v>
      </c>
      <c r="J74">
        <v>10</v>
      </c>
      <c r="K74">
        <v>619.49</v>
      </c>
      <c r="L74">
        <v>165.04</v>
      </c>
      <c r="M74">
        <v>660.16</v>
      </c>
      <c r="N74">
        <v>34</v>
      </c>
      <c r="O74" t="s">
        <v>26</v>
      </c>
      <c r="P74" t="s">
        <v>43</v>
      </c>
    </row>
    <row r="75" spans="1:16">
      <c r="A75">
        <v>101056</v>
      </c>
      <c r="B75" s="4">
        <v>45671</v>
      </c>
      <c r="C75" t="s">
        <v>1140</v>
      </c>
      <c r="D75" t="s">
        <v>39</v>
      </c>
      <c r="E75" t="s">
        <v>25</v>
      </c>
      <c r="F75" t="s">
        <v>1238</v>
      </c>
      <c r="G75" t="s">
        <v>18</v>
      </c>
      <c r="H75">
        <v>3</v>
      </c>
      <c r="I75">
        <v>139.19999999999999</v>
      </c>
      <c r="J75">
        <v>0</v>
      </c>
      <c r="K75">
        <v>417.6</v>
      </c>
      <c r="L75">
        <v>153.66</v>
      </c>
      <c r="M75">
        <v>460.98</v>
      </c>
      <c r="N75">
        <v>44</v>
      </c>
      <c r="O75" t="s">
        <v>19</v>
      </c>
      <c r="P75" t="s">
        <v>81</v>
      </c>
    </row>
    <row r="76" spans="1:16">
      <c r="A76">
        <v>100502</v>
      </c>
      <c r="B76" s="4">
        <v>45724</v>
      </c>
      <c r="C76" t="s">
        <v>1138</v>
      </c>
      <c r="D76" t="s">
        <v>87</v>
      </c>
      <c r="E76" t="s">
        <v>25</v>
      </c>
      <c r="F76" t="s">
        <v>1241</v>
      </c>
      <c r="G76" t="s">
        <v>64</v>
      </c>
      <c r="H76">
        <v>5</v>
      </c>
      <c r="I76">
        <v>89.56</v>
      </c>
      <c r="J76">
        <v>10</v>
      </c>
      <c r="K76">
        <v>403.02</v>
      </c>
      <c r="L76">
        <v>115.02</v>
      </c>
      <c r="M76">
        <v>575.1</v>
      </c>
      <c r="N76">
        <v>36</v>
      </c>
      <c r="O76" t="s">
        <v>26</v>
      </c>
      <c r="P76" t="s">
        <v>81</v>
      </c>
    </row>
    <row r="77" spans="1:16">
      <c r="A77">
        <v>100406</v>
      </c>
      <c r="B77" s="4">
        <v>45156</v>
      </c>
      <c r="C77" t="s">
        <v>1137</v>
      </c>
      <c r="D77" t="s">
        <v>68</v>
      </c>
      <c r="E77" t="s">
        <v>25</v>
      </c>
      <c r="F77" t="s">
        <v>1241</v>
      </c>
      <c r="G77" t="s">
        <v>31</v>
      </c>
      <c r="H77">
        <v>2</v>
      </c>
      <c r="I77">
        <v>216.38</v>
      </c>
      <c r="J77">
        <v>20</v>
      </c>
      <c r="K77">
        <v>346.21</v>
      </c>
      <c r="L77">
        <v>92.61</v>
      </c>
      <c r="M77">
        <v>185.22</v>
      </c>
      <c r="N77">
        <v>32</v>
      </c>
      <c r="O77" t="s">
        <v>26</v>
      </c>
      <c r="P77" t="s">
        <v>81</v>
      </c>
    </row>
    <row r="78" spans="1:16">
      <c r="A78">
        <v>100184</v>
      </c>
      <c r="B78" s="4">
        <v>45182</v>
      </c>
      <c r="C78" t="s">
        <v>129</v>
      </c>
      <c r="D78" t="s">
        <v>87</v>
      </c>
      <c r="E78" t="s">
        <v>25</v>
      </c>
      <c r="F78" t="s">
        <v>1241</v>
      </c>
      <c r="G78" t="s">
        <v>31</v>
      </c>
      <c r="H78">
        <v>2</v>
      </c>
      <c r="I78">
        <v>75.760000000000005</v>
      </c>
      <c r="J78">
        <v>10</v>
      </c>
      <c r="K78">
        <v>136.37</v>
      </c>
      <c r="L78">
        <v>38.76</v>
      </c>
      <c r="M78">
        <v>77.52</v>
      </c>
      <c r="N78">
        <v>17</v>
      </c>
      <c r="O78" t="s">
        <v>19</v>
      </c>
      <c r="P78" t="s">
        <v>27</v>
      </c>
    </row>
    <row r="79" spans="1:16">
      <c r="A79">
        <v>100056</v>
      </c>
      <c r="B79" s="4">
        <v>45352</v>
      </c>
      <c r="C79" t="s">
        <v>130</v>
      </c>
      <c r="D79" t="s">
        <v>70</v>
      </c>
      <c r="E79" t="s">
        <v>25</v>
      </c>
      <c r="F79" t="s">
        <v>1238</v>
      </c>
      <c r="G79" t="s">
        <v>48</v>
      </c>
      <c r="H79">
        <v>3</v>
      </c>
      <c r="I79">
        <v>154.34</v>
      </c>
      <c r="J79">
        <v>20</v>
      </c>
      <c r="K79">
        <v>370.42</v>
      </c>
      <c r="L79">
        <v>121.89</v>
      </c>
      <c r="M79">
        <v>365.67</v>
      </c>
      <c r="N79">
        <v>35</v>
      </c>
      <c r="O79" t="s">
        <v>19</v>
      </c>
      <c r="P79" t="s">
        <v>81</v>
      </c>
    </row>
    <row r="80" spans="1:16">
      <c r="A80">
        <v>100804</v>
      </c>
      <c r="B80" s="4">
        <v>45022</v>
      </c>
      <c r="C80" t="s">
        <v>1136</v>
      </c>
      <c r="D80" t="s">
        <v>70</v>
      </c>
      <c r="E80" t="s">
        <v>25</v>
      </c>
      <c r="F80" t="s">
        <v>1240</v>
      </c>
      <c r="G80" t="s">
        <v>31</v>
      </c>
      <c r="H80">
        <v>2</v>
      </c>
      <c r="I80">
        <v>144.69</v>
      </c>
      <c r="J80">
        <v>0</v>
      </c>
      <c r="K80">
        <v>289.38</v>
      </c>
      <c r="L80">
        <v>81.88</v>
      </c>
      <c r="M80">
        <v>163.76</v>
      </c>
      <c r="N80">
        <v>25</v>
      </c>
      <c r="O80" t="s">
        <v>19</v>
      </c>
      <c r="P80" t="s">
        <v>35</v>
      </c>
    </row>
    <row r="81" spans="1:16">
      <c r="A81">
        <v>100098</v>
      </c>
      <c r="B81" s="4">
        <v>45434</v>
      </c>
      <c r="C81" t="s">
        <v>1135</v>
      </c>
      <c r="D81" t="s">
        <v>70</v>
      </c>
      <c r="E81" t="s">
        <v>25</v>
      </c>
      <c r="F81" t="s">
        <v>1240</v>
      </c>
      <c r="G81" t="s">
        <v>18</v>
      </c>
      <c r="H81">
        <v>2</v>
      </c>
      <c r="I81">
        <v>145.66</v>
      </c>
      <c r="J81">
        <v>10</v>
      </c>
      <c r="K81">
        <v>262.19</v>
      </c>
      <c r="L81">
        <v>75.53</v>
      </c>
      <c r="M81">
        <v>151.06</v>
      </c>
      <c r="N81">
        <v>26</v>
      </c>
      <c r="O81" t="s">
        <v>26</v>
      </c>
      <c r="P81" t="s">
        <v>46</v>
      </c>
    </row>
    <row r="82" spans="1:16">
      <c r="A82">
        <v>100642</v>
      </c>
      <c r="B82" s="4">
        <v>45554</v>
      </c>
      <c r="C82" t="s">
        <v>1130</v>
      </c>
      <c r="D82" t="s">
        <v>70</v>
      </c>
      <c r="E82" t="s">
        <v>25</v>
      </c>
      <c r="F82" t="s">
        <v>1238</v>
      </c>
      <c r="G82" t="s">
        <v>18</v>
      </c>
      <c r="H82">
        <v>4</v>
      </c>
      <c r="I82">
        <v>164.89</v>
      </c>
      <c r="J82">
        <v>0</v>
      </c>
      <c r="K82">
        <v>659.56</v>
      </c>
      <c r="L82">
        <v>216.79</v>
      </c>
      <c r="M82">
        <v>867.16</v>
      </c>
      <c r="N82">
        <v>19</v>
      </c>
      <c r="O82" t="s">
        <v>26</v>
      </c>
      <c r="P82" t="s">
        <v>46</v>
      </c>
    </row>
    <row r="83" spans="1:16">
      <c r="A83">
        <v>101028</v>
      </c>
      <c r="B83" s="4">
        <v>45218</v>
      </c>
      <c r="C83" t="s">
        <v>1129</v>
      </c>
      <c r="D83" t="s">
        <v>70</v>
      </c>
      <c r="E83" t="s">
        <v>25</v>
      </c>
      <c r="F83" t="s">
        <v>1238</v>
      </c>
      <c r="G83" t="s">
        <v>18</v>
      </c>
      <c r="H83">
        <v>3</v>
      </c>
      <c r="I83">
        <v>145.07</v>
      </c>
      <c r="J83">
        <v>10</v>
      </c>
      <c r="K83">
        <v>391.69</v>
      </c>
      <c r="L83">
        <v>137.51</v>
      </c>
      <c r="M83">
        <v>412.53</v>
      </c>
      <c r="N83">
        <v>24</v>
      </c>
      <c r="O83" t="s">
        <v>26</v>
      </c>
      <c r="P83" t="s">
        <v>51</v>
      </c>
    </row>
    <row r="84" spans="1:16">
      <c r="A84">
        <v>100870</v>
      </c>
      <c r="B84" s="4">
        <v>45733</v>
      </c>
      <c r="C84" t="s">
        <v>1125</v>
      </c>
      <c r="D84" t="s">
        <v>24</v>
      </c>
      <c r="E84" t="s">
        <v>25</v>
      </c>
      <c r="F84" t="s">
        <v>1239</v>
      </c>
      <c r="G84" t="s">
        <v>48</v>
      </c>
      <c r="H84">
        <v>3</v>
      </c>
      <c r="I84">
        <v>108.29</v>
      </c>
      <c r="J84">
        <v>0</v>
      </c>
      <c r="K84">
        <v>324.87</v>
      </c>
      <c r="L84">
        <v>91.11</v>
      </c>
      <c r="M84">
        <v>273.33</v>
      </c>
      <c r="N84">
        <v>17</v>
      </c>
      <c r="O84" t="s">
        <v>26</v>
      </c>
      <c r="P84" t="s">
        <v>27</v>
      </c>
    </row>
    <row r="85" spans="1:16">
      <c r="A85">
        <v>100206</v>
      </c>
      <c r="B85" s="4">
        <v>45262</v>
      </c>
      <c r="C85" t="s">
        <v>1123</v>
      </c>
      <c r="D85" t="s">
        <v>100</v>
      </c>
      <c r="E85" t="s">
        <v>25</v>
      </c>
      <c r="F85" t="s">
        <v>1238</v>
      </c>
      <c r="G85" t="s">
        <v>31</v>
      </c>
      <c r="H85">
        <v>4</v>
      </c>
      <c r="I85">
        <v>142.63</v>
      </c>
      <c r="J85">
        <v>5</v>
      </c>
      <c r="K85">
        <v>541.99</v>
      </c>
      <c r="L85">
        <v>160.16999999999999</v>
      </c>
      <c r="M85">
        <v>640.67999999999995</v>
      </c>
      <c r="N85">
        <v>27</v>
      </c>
      <c r="O85" t="s">
        <v>19</v>
      </c>
      <c r="P85" t="s">
        <v>43</v>
      </c>
    </row>
    <row r="86" spans="1:16">
      <c r="A86">
        <v>100548</v>
      </c>
      <c r="B86" s="4">
        <v>45740</v>
      </c>
      <c r="C86" t="s">
        <v>137</v>
      </c>
      <c r="D86" t="s">
        <v>70</v>
      </c>
      <c r="E86" t="s">
        <v>25</v>
      </c>
      <c r="F86" t="s">
        <v>1241</v>
      </c>
      <c r="G86" t="s">
        <v>18</v>
      </c>
      <c r="H86">
        <v>1</v>
      </c>
      <c r="I86">
        <v>136.94</v>
      </c>
      <c r="J86">
        <v>0</v>
      </c>
      <c r="K86">
        <v>136.94</v>
      </c>
      <c r="L86">
        <v>32.32</v>
      </c>
      <c r="M86">
        <v>32.32</v>
      </c>
      <c r="N86">
        <v>16</v>
      </c>
      <c r="O86" t="s">
        <v>26</v>
      </c>
      <c r="P86" t="s">
        <v>20</v>
      </c>
    </row>
    <row r="87" spans="1:16">
      <c r="A87">
        <v>100863</v>
      </c>
      <c r="B87" s="4">
        <v>45480</v>
      </c>
      <c r="C87" t="s">
        <v>1120</v>
      </c>
      <c r="D87" t="s">
        <v>42</v>
      </c>
      <c r="E87" t="s">
        <v>25</v>
      </c>
      <c r="F87" t="s">
        <v>1238</v>
      </c>
      <c r="G87" t="s">
        <v>18</v>
      </c>
      <c r="H87">
        <v>2</v>
      </c>
      <c r="I87">
        <v>176.79</v>
      </c>
      <c r="J87">
        <v>0</v>
      </c>
      <c r="K87">
        <v>353.58</v>
      </c>
      <c r="L87">
        <v>99.97</v>
      </c>
      <c r="M87">
        <v>199.94</v>
      </c>
      <c r="N87">
        <v>33</v>
      </c>
      <c r="O87" t="s">
        <v>19</v>
      </c>
      <c r="P87" t="s">
        <v>46</v>
      </c>
    </row>
    <row r="88" spans="1:16">
      <c r="A88">
        <v>101072</v>
      </c>
      <c r="B88" s="4">
        <v>45175</v>
      </c>
      <c r="C88" t="s">
        <v>139</v>
      </c>
      <c r="D88" t="s">
        <v>73</v>
      </c>
      <c r="E88" t="s">
        <v>25</v>
      </c>
      <c r="F88" t="s">
        <v>1241</v>
      </c>
      <c r="G88" t="s">
        <v>18</v>
      </c>
      <c r="H88">
        <v>2</v>
      </c>
      <c r="I88">
        <v>32.85</v>
      </c>
      <c r="J88">
        <v>0</v>
      </c>
      <c r="K88">
        <v>65.7</v>
      </c>
      <c r="L88">
        <v>17.73</v>
      </c>
      <c r="M88">
        <v>35.46</v>
      </c>
      <c r="N88">
        <v>26</v>
      </c>
      <c r="O88" t="s">
        <v>19</v>
      </c>
      <c r="P88" t="s">
        <v>35</v>
      </c>
    </row>
    <row r="89" spans="1:16">
      <c r="A89">
        <v>100174</v>
      </c>
      <c r="B89" s="4">
        <v>45573</v>
      </c>
      <c r="C89" t="s">
        <v>140</v>
      </c>
      <c r="D89" t="s">
        <v>42</v>
      </c>
      <c r="E89" t="s">
        <v>25</v>
      </c>
      <c r="F89" t="s">
        <v>1241</v>
      </c>
      <c r="G89" t="s">
        <v>31</v>
      </c>
      <c r="H89">
        <v>3</v>
      </c>
      <c r="I89">
        <v>161.69999999999999</v>
      </c>
      <c r="J89">
        <v>0</v>
      </c>
      <c r="K89">
        <v>485.1</v>
      </c>
      <c r="L89">
        <v>128.55000000000001</v>
      </c>
      <c r="M89">
        <v>385.65000000000003</v>
      </c>
      <c r="N89">
        <v>32</v>
      </c>
      <c r="O89" t="s">
        <v>26</v>
      </c>
      <c r="P89" t="s">
        <v>20</v>
      </c>
    </row>
    <row r="90" spans="1:16">
      <c r="A90">
        <v>100563</v>
      </c>
      <c r="B90" s="4">
        <v>45719</v>
      </c>
      <c r="C90" t="s">
        <v>1118</v>
      </c>
      <c r="D90" t="s">
        <v>68</v>
      </c>
      <c r="E90" t="s">
        <v>25</v>
      </c>
      <c r="F90" t="s">
        <v>1238</v>
      </c>
      <c r="G90" t="s">
        <v>18</v>
      </c>
      <c r="H90">
        <v>3</v>
      </c>
      <c r="I90">
        <v>227.63</v>
      </c>
      <c r="J90">
        <v>0</v>
      </c>
      <c r="K90">
        <v>682.89</v>
      </c>
      <c r="L90">
        <v>184.94</v>
      </c>
      <c r="M90">
        <v>554.81999999999994</v>
      </c>
      <c r="N90">
        <v>38</v>
      </c>
      <c r="O90" t="s">
        <v>26</v>
      </c>
      <c r="P90" t="s">
        <v>51</v>
      </c>
    </row>
    <row r="91" spans="1:16">
      <c r="A91">
        <v>100484</v>
      </c>
      <c r="B91" s="4">
        <v>44932</v>
      </c>
      <c r="C91" t="s">
        <v>1115</v>
      </c>
      <c r="D91" t="s">
        <v>39</v>
      </c>
      <c r="E91" t="s">
        <v>25</v>
      </c>
      <c r="F91" t="s">
        <v>1241</v>
      </c>
      <c r="G91" t="s">
        <v>18</v>
      </c>
      <c r="H91">
        <v>3</v>
      </c>
      <c r="I91">
        <v>184.81</v>
      </c>
      <c r="J91">
        <v>0</v>
      </c>
      <c r="K91">
        <v>554.42999999999995</v>
      </c>
      <c r="L91">
        <v>158.08000000000001</v>
      </c>
      <c r="M91">
        <v>474.24</v>
      </c>
      <c r="N91">
        <v>39</v>
      </c>
      <c r="O91" t="s">
        <v>19</v>
      </c>
      <c r="P91" t="s">
        <v>43</v>
      </c>
    </row>
    <row r="92" spans="1:16">
      <c r="A92">
        <v>100513</v>
      </c>
      <c r="B92" s="4">
        <v>45348</v>
      </c>
      <c r="C92" t="s">
        <v>143</v>
      </c>
      <c r="D92" t="s">
        <v>87</v>
      </c>
      <c r="E92" t="s">
        <v>25</v>
      </c>
      <c r="F92" t="s">
        <v>1237</v>
      </c>
      <c r="G92" t="s">
        <v>31</v>
      </c>
      <c r="H92">
        <v>6</v>
      </c>
      <c r="I92">
        <v>94.05</v>
      </c>
      <c r="J92">
        <v>5</v>
      </c>
      <c r="K92">
        <v>536.08000000000004</v>
      </c>
      <c r="L92">
        <v>131.25</v>
      </c>
      <c r="M92">
        <v>787.5</v>
      </c>
      <c r="N92">
        <v>27</v>
      </c>
      <c r="O92" t="s">
        <v>19</v>
      </c>
      <c r="P92" t="s">
        <v>35</v>
      </c>
    </row>
    <row r="93" spans="1:16">
      <c r="A93">
        <v>101109</v>
      </c>
      <c r="B93" s="4">
        <v>45309</v>
      </c>
      <c r="C93" t="s">
        <v>1114</v>
      </c>
      <c r="D93" t="s">
        <v>42</v>
      </c>
      <c r="E93" t="s">
        <v>25</v>
      </c>
      <c r="F93" t="s">
        <v>1241</v>
      </c>
      <c r="G93" t="s">
        <v>18</v>
      </c>
      <c r="H93">
        <v>3</v>
      </c>
      <c r="I93">
        <v>146.69</v>
      </c>
      <c r="J93">
        <v>0</v>
      </c>
      <c r="K93">
        <v>440.07</v>
      </c>
      <c r="L93">
        <v>146.22999999999999</v>
      </c>
      <c r="M93">
        <v>438.68999999999994</v>
      </c>
      <c r="N93">
        <v>21</v>
      </c>
      <c r="O93" t="s">
        <v>26</v>
      </c>
      <c r="P93" t="s">
        <v>32</v>
      </c>
    </row>
    <row r="94" spans="1:16">
      <c r="A94">
        <v>100286</v>
      </c>
      <c r="B94" s="4">
        <v>45492</v>
      </c>
      <c r="C94" t="s">
        <v>145</v>
      </c>
      <c r="D94" t="s">
        <v>42</v>
      </c>
      <c r="E94" t="s">
        <v>25</v>
      </c>
      <c r="F94" t="s">
        <v>1238</v>
      </c>
      <c r="G94" t="s">
        <v>31</v>
      </c>
      <c r="H94">
        <v>3</v>
      </c>
      <c r="I94">
        <v>172.13</v>
      </c>
      <c r="J94">
        <v>5</v>
      </c>
      <c r="K94">
        <v>490.57</v>
      </c>
      <c r="L94">
        <v>163.9</v>
      </c>
      <c r="M94">
        <v>491.70000000000005</v>
      </c>
      <c r="N94">
        <v>24</v>
      </c>
      <c r="O94" t="s">
        <v>19</v>
      </c>
      <c r="P94" t="s">
        <v>35</v>
      </c>
    </row>
    <row r="95" spans="1:16">
      <c r="A95">
        <v>100748</v>
      </c>
      <c r="B95" s="4">
        <v>45832</v>
      </c>
      <c r="C95" t="s">
        <v>1113</v>
      </c>
      <c r="D95" t="s">
        <v>42</v>
      </c>
      <c r="E95" t="s">
        <v>25</v>
      </c>
      <c r="F95" t="s">
        <v>1241</v>
      </c>
      <c r="G95" t="s">
        <v>31</v>
      </c>
      <c r="H95">
        <v>4</v>
      </c>
      <c r="I95">
        <v>148.94999999999999</v>
      </c>
      <c r="J95">
        <v>5</v>
      </c>
      <c r="K95">
        <v>566.01</v>
      </c>
      <c r="L95">
        <v>168.92</v>
      </c>
      <c r="M95">
        <v>675.68</v>
      </c>
      <c r="N95">
        <v>16</v>
      </c>
      <c r="O95" t="s">
        <v>26</v>
      </c>
      <c r="P95" t="s">
        <v>27</v>
      </c>
    </row>
    <row r="96" spans="1:16">
      <c r="A96">
        <v>101007</v>
      </c>
      <c r="B96" s="4">
        <v>45575</v>
      </c>
      <c r="C96" t="s">
        <v>147</v>
      </c>
      <c r="D96" t="s">
        <v>73</v>
      </c>
      <c r="E96" t="s">
        <v>25</v>
      </c>
      <c r="F96" t="s">
        <v>1237</v>
      </c>
      <c r="G96" t="s">
        <v>31</v>
      </c>
      <c r="H96">
        <v>3</v>
      </c>
      <c r="I96">
        <v>36.51</v>
      </c>
      <c r="J96">
        <v>0</v>
      </c>
      <c r="K96">
        <v>109.53</v>
      </c>
      <c r="L96">
        <v>37.47</v>
      </c>
      <c r="M96">
        <v>112.41</v>
      </c>
      <c r="N96">
        <v>30</v>
      </c>
      <c r="O96" t="s">
        <v>26</v>
      </c>
      <c r="P96" t="s">
        <v>35</v>
      </c>
    </row>
    <row r="97" spans="1:16">
      <c r="A97">
        <v>100670</v>
      </c>
      <c r="B97" s="4">
        <v>45175</v>
      </c>
      <c r="C97" t="s">
        <v>148</v>
      </c>
      <c r="D97" t="s">
        <v>68</v>
      </c>
      <c r="E97" t="s">
        <v>25</v>
      </c>
      <c r="F97" t="s">
        <v>1237</v>
      </c>
      <c r="G97" t="s">
        <v>48</v>
      </c>
      <c r="H97">
        <v>2</v>
      </c>
      <c r="I97">
        <v>207.35</v>
      </c>
      <c r="J97">
        <v>10</v>
      </c>
      <c r="K97">
        <v>373.23</v>
      </c>
      <c r="L97">
        <v>82.8</v>
      </c>
      <c r="M97">
        <v>165.6</v>
      </c>
      <c r="N97">
        <v>40</v>
      </c>
      <c r="O97" t="s">
        <v>19</v>
      </c>
      <c r="P97" t="s">
        <v>27</v>
      </c>
    </row>
    <row r="98" spans="1:16">
      <c r="A98">
        <v>100534</v>
      </c>
      <c r="B98" s="4">
        <v>45460</v>
      </c>
      <c r="C98" t="s">
        <v>149</v>
      </c>
      <c r="D98" t="s">
        <v>73</v>
      </c>
      <c r="E98" t="s">
        <v>25</v>
      </c>
      <c r="F98" t="s">
        <v>1237</v>
      </c>
      <c r="G98" t="s">
        <v>18</v>
      </c>
      <c r="H98">
        <v>3</v>
      </c>
      <c r="I98">
        <v>33.51</v>
      </c>
      <c r="J98">
        <v>5</v>
      </c>
      <c r="K98">
        <v>95.5</v>
      </c>
      <c r="L98">
        <v>30.96</v>
      </c>
      <c r="M98">
        <v>92.88</v>
      </c>
      <c r="N98">
        <v>27</v>
      </c>
      <c r="O98" t="s">
        <v>26</v>
      </c>
      <c r="P98" t="s">
        <v>81</v>
      </c>
    </row>
    <row r="99" spans="1:16">
      <c r="A99">
        <v>100540</v>
      </c>
      <c r="B99" s="4">
        <v>45293</v>
      </c>
      <c r="C99" t="s">
        <v>1112</v>
      </c>
      <c r="D99" t="s">
        <v>68</v>
      </c>
      <c r="E99" t="s">
        <v>25</v>
      </c>
      <c r="F99" t="s">
        <v>1241</v>
      </c>
      <c r="G99" t="s">
        <v>31</v>
      </c>
      <c r="H99">
        <v>3</v>
      </c>
      <c r="I99">
        <v>233.52</v>
      </c>
      <c r="J99">
        <v>40</v>
      </c>
      <c r="K99">
        <v>420.34</v>
      </c>
      <c r="L99">
        <v>130.63</v>
      </c>
      <c r="M99">
        <v>391.89</v>
      </c>
      <c r="N99">
        <v>30</v>
      </c>
      <c r="O99" t="s">
        <v>19</v>
      </c>
      <c r="P99" t="s">
        <v>46</v>
      </c>
    </row>
    <row r="100" spans="1:16">
      <c r="A100">
        <v>100292</v>
      </c>
      <c r="B100" s="4">
        <v>45360</v>
      </c>
      <c r="C100" t="s">
        <v>151</v>
      </c>
      <c r="D100" t="s">
        <v>42</v>
      </c>
      <c r="E100" t="s">
        <v>25</v>
      </c>
      <c r="F100" t="s">
        <v>1238</v>
      </c>
      <c r="G100" t="s">
        <v>48</v>
      </c>
      <c r="H100">
        <v>4</v>
      </c>
      <c r="I100">
        <v>159.65</v>
      </c>
      <c r="J100">
        <v>5</v>
      </c>
      <c r="K100">
        <v>606.66999999999996</v>
      </c>
      <c r="L100">
        <v>235.76</v>
      </c>
      <c r="M100">
        <v>943.04</v>
      </c>
      <c r="N100">
        <v>22</v>
      </c>
      <c r="O100" t="s">
        <v>19</v>
      </c>
      <c r="P100" t="s">
        <v>35</v>
      </c>
    </row>
    <row r="101" spans="1:16">
      <c r="A101">
        <v>100123</v>
      </c>
      <c r="B101" s="4">
        <v>45744</v>
      </c>
      <c r="C101" t="s">
        <v>152</v>
      </c>
      <c r="D101" t="s">
        <v>42</v>
      </c>
      <c r="E101" t="s">
        <v>25</v>
      </c>
      <c r="F101" t="s">
        <v>1239</v>
      </c>
      <c r="G101" t="s">
        <v>18</v>
      </c>
      <c r="H101">
        <v>4</v>
      </c>
      <c r="I101">
        <v>159.31</v>
      </c>
      <c r="J101">
        <v>10</v>
      </c>
      <c r="K101">
        <v>573.52</v>
      </c>
      <c r="L101">
        <v>164.35</v>
      </c>
      <c r="M101">
        <v>657.4</v>
      </c>
      <c r="N101">
        <v>21</v>
      </c>
      <c r="O101" t="s">
        <v>26</v>
      </c>
      <c r="P101" t="s">
        <v>51</v>
      </c>
    </row>
    <row r="102" spans="1:16">
      <c r="A102">
        <v>100582</v>
      </c>
      <c r="B102" s="4">
        <v>45163</v>
      </c>
      <c r="C102" t="s">
        <v>153</v>
      </c>
      <c r="D102" t="s">
        <v>39</v>
      </c>
      <c r="E102" t="s">
        <v>25</v>
      </c>
      <c r="F102" t="s">
        <v>1237</v>
      </c>
      <c r="G102" t="s">
        <v>31</v>
      </c>
      <c r="H102">
        <v>1</v>
      </c>
      <c r="I102">
        <v>173.04</v>
      </c>
      <c r="J102">
        <v>5</v>
      </c>
      <c r="K102">
        <v>164.39</v>
      </c>
      <c r="L102">
        <v>44.29</v>
      </c>
      <c r="M102">
        <v>44.29</v>
      </c>
      <c r="N102">
        <v>27</v>
      </c>
      <c r="O102" t="s">
        <v>26</v>
      </c>
      <c r="P102" t="s">
        <v>46</v>
      </c>
    </row>
    <row r="103" spans="1:16">
      <c r="A103">
        <v>100140</v>
      </c>
      <c r="B103" s="4">
        <v>44934</v>
      </c>
      <c r="C103" t="s">
        <v>154</v>
      </c>
      <c r="D103" t="s">
        <v>73</v>
      </c>
      <c r="E103" t="s">
        <v>25</v>
      </c>
      <c r="F103" t="s">
        <v>1241</v>
      </c>
      <c r="G103" t="s">
        <v>18</v>
      </c>
      <c r="H103">
        <v>1</v>
      </c>
      <c r="I103">
        <v>36.07</v>
      </c>
      <c r="J103">
        <v>5</v>
      </c>
      <c r="K103">
        <v>34.270000000000003</v>
      </c>
      <c r="L103">
        <v>6.22</v>
      </c>
      <c r="M103">
        <v>6.22</v>
      </c>
      <c r="N103">
        <v>34</v>
      </c>
      <c r="O103" t="s">
        <v>26</v>
      </c>
      <c r="P103" t="s">
        <v>43</v>
      </c>
    </row>
    <row r="104" spans="1:16">
      <c r="A104">
        <v>101059</v>
      </c>
      <c r="B104" s="4">
        <v>45417</v>
      </c>
      <c r="C104" t="s">
        <v>1111</v>
      </c>
      <c r="D104" t="s">
        <v>68</v>
      </c>
      <c r="E104" t="s">
        <v>25</v>
      </c>
      <c r="F104" t="s">
        <v>1238</v>
      </c>
      <c r="G104" t="s">
        <v>18</v>
      </c>
      <c r="H104">
        <v>4</v>
      </c>
      <c r="I104">
        <v>203.77</v>
      </c>
      <c r="J104">
        <v>20</v>
      </c>
      <c r="K104">
        <v>652.05999999999995</v>
      </c>
      <c r="L104">
        <v>179.72</v>
      </c>
      <c r="M104">
        <v>718.88</v>
      </c>
      <c r="N104">
        <v>18</v>
      </c>
      <c r="O104" t="s">
        <v>26</v>
      </c>
      <c r="P104" t="s">
        <v>81</v>
      </c>
    </row>
    <row r="105" spans="1:16">
      <c r="A105">
        <v>100081</v>
      </c>
      <c r="B105" s="4">
        <v>45197</v>
      </c>
      <c r="C105" t="s">
        <v>156</v>
      </c>
      <c r="D105" t="s">
        <v>24</v>
      </c>
      <c r="E105" t="s">
        <v>25</v>
      </c>
      <c r="F105" t="s">
        <v>1241</v>
      </c>
      <c r="G105" t="s">
        <v>18</v>
      </c>
      <c r="H105">
        <v>3</v>
      </c>
      <c r="I105">
        <v>105.4</v>
      </c>
      <c r="J105">
        <v>20</v>
      </c>
      <c r="K105">
        <v>252.96</v>
      </c>
      <c r="L105">
        <v>54</v>
      </c>
      <c r="M105">
        <v>162</v>
      </c>
      <c r="N105">
        <v>41</v>
      </c>
      <c r="O105" t="s">
        <v>26</v>
      </c>
      <c r="P105" t="s">
        <v>46</v>
      </c>
    </row>
    <row r="106" spans="1:16">
      <c r="A106">
        <v>100881</v>
      </c>
      <c r="B106" s="4">
        <v>45369</v>
      </c>
      <c r="C106" t="s">
        <v>157</v>
      </c>
      <c r="D106" t="s">
        <v>39</v>
      </c>
      <c r="E106" t="s">
        <v>25</v>
      </c>
      <c r="F106" t="s">
        <v>1237</v>
      </c>
      <c r="G106" t="s">
        <v>18</v>
      </c>
      <c r="H106">
        <v>4</v>
      </c>
      <c r="I106">
        <v>187.89</v>
      </c>
      <c r="J106">
        <v>0</v>
      </c>
      <c r="K106">
        <v>751.56</v>
      </c>
      <c r="L106">
        <v>230.22</v>
      </c>
      <c r="M106">
        <v>920.88</v>
      </c>
      <c r="N106">
        <v>20</v>
      </c>
      <c r="O106" t="s">
        <v>26</v>
      </c>
      <c r="P106" t="s">
        <v>27</v>
      </c>
    </row>
    <row r="107" spans="1:16">
      <c r="A107">
        <v>100739</v>
      </c>
      <c r="B107" s="4">
        <v>45110</v>
      </c>
      <c r="C107" t="s">
        <v>158</v>
      </c>
      <c r="D107" t="s">
        <v>39</v>
      </c>
      <c r="E107" t="s">
        <v>25</v>
      </c>
      <c r="F107" t="s">
        <v>1238</v>
      </c>
      <c r="G107" t="s">
        <v>18</v>
      </c>
      <c r="H107">
        <v>5</v>
      </c>
      <c r="I107">
        <v>176.55</v>
      </c>
      <c r="J107">
        <v>0</v>
      </c>
      <c r="K107">
        <v>882.75</v>
      </c>
      <c r="L107">
        <v>279.52999999999997</v>
      </c>
      <c r="M107">
        <v>1397.6499999999999</v>
      </c>
      <c r="N107">
        <v>31</v>
      </c>
      <c r="O107" t="s">
        <v>26</v>
      </c>
      <c r="P107" t="s">
        <v>27</v>
      </c>
    </row>
    <row r="108" spans="1:16">
      <c r="A108">
        <v>100577</v>
      </c>
      <c r="B108" s="4">
        <v>45513</v>
      </c>
      <c r="C108" t="s">
        <v>1109</v>
      </c>
      <c r="D108" t="s">
        <v>68</v>
      </c>
      <c r="E108" t="s">
        <v>25</v>
      </c>
      <c r="F108" t="s">
        <v>1238</v>
      </c>
      <c r="G108" t="s">
        <v>31</v>
      </c>
      <c r="H108">
        <v>5</v>
      </c>
      <c r="I108">
        <v>207.82</v>
      </c>
      <c r="J108">
        <v>5</v>
      </c>
      <c r="K108">
        <v>987.14</v>
      </c>
      <c r="L108">
        <v>261.25</v>
      </c>
      <c r="M108">
        <v>1306.25</v>
      </c>
      <c r="N108">
        <v>36</v>
      </c>
      <c r="O108" t="s">
        <v>26</v>
      </c>
      <c r="P108" t="s">
        <v>35</v>
      </c>
    </row>
    <row r="109" spans="1:16">
      <c r="A109">
        <v>100908</v>
      </c>
      <c r="B109" s="4">
        <v>45318</v>
      </c>
      <c r="C109" t="s">
        <v>160</v>
      </c>
      <c r="D109" t="s">
        <v>39</v>
      </c>
      <c r="E109" t="s">
        <v>25</v>
      </c>
      <c r="F109" t="s">
        <v>1241</v>
      </c>
      <c r="G109" t="s">
        <v>31</v>
      </c>
      <c r="H109">
        <v>2</v>
      </c>
      <c r="I109">
        <v>181.59</v>
      </c>
      <c r="J109">
        <v>20</v>
      </c>
      <c r="K109">
        <v>290.54000000000002</v>
      </c>
      <c r="L109">
        <v>96.12</v>
      </c>
      <c r="M109">
        <v>192.24</v>
      </c>
      <c r="N109">
        <v>24</v>
      </c>
      <c r="O109" t="s">
        <v>26</v>
      </c>
      <c r="P109" t="s">
        <v>27</v>
      </c>
    </row>
    <row r="110" spans="1:16">
      <c r="A110">
        <v>101166</v>
      </c>
      <c r="B110" s="4">
        <v>45581</v>
      </c>
      <c r="C110" t="s">
        <v>161</v>
      </c>
      <c r="D110" t="s">
        <v>87</v>
      </c>
      <c r="E110" t="s">
        <v>25</v>
      </c>
      <c r="F110" t="s">
        <v>1239</v>
      </c>
      <c r="G110" t="s">
        <v>31</v>
      </c>
      <c r="H110">
        <v>2</v>
      </c>
      <c r="I110">
        <v>74.08</v>
      </c>
      <c r="J110">
        <v>0</v>
      </c>
      <c r="K110">
        <v>148.16</v>
      </c>
      <c r="L110">
        <v>37.58</v>
      </c>
      <c r="M110">
        <v>75.16</v>
      </c>
      <c r="N110">
        <v>41</v>
      </c>
      <c r="O110" t="s">
        <v>19</v>
      </c>
      <c r="P110" t="s">
        <v>46</v>
      </c>
    </row>
    <row r="111" spans="1:16">
      <c r="A111">
        <v>100936</v>
      </c>
      <c r="B111" s="4">
        <v>45743</v>
      </c>
      <c r="C111" t="s">
        <v>162</v>
      </c>
      <c r="D111" t="s">
        <v>42</v>
      </c>
      <c r="E111" t="s">
        <v>25</v>
      </c>
      <c r="F111" t="s">
        <v>1241</v>
      </c>
      <c r="G111" t="s">
        <v>31</v>
      </c>
      <c r="H111">
        <v>2</v>
      </c>
      <c r="I111">
        <v>170.34</v>
      </c>
      <c r="J111">
        <v>0</v>
      </c>
      <c r="K111">
        <v>340.68</v>
      </c>
      <c r="L111">
        <v>87.76</v>
      </c>
      <c r="M111">
        <v>175.52</v>
      </c>
      <c r="N111">
        <v>16</v>
      </c>
      <c r="O111" t="s">
        <v>19</v>
      </c>
      <c r="P111" t="s">
        <v>43</v>
      </c>
    </row>
    <row r="112" spans="1:16">
      <c r="A112">
        <v>100681</v>
      </c>
      <c r="B112" s="4">
        <v>45685</v>
      </c>
      <c r="C112" t="s">
        <v>1108</v>
      </c>
      <c r="D112" t="s">
        <v>70</v>
      </c>
      <c r="E112" t="s">
        <v>25</v>
      </c>
      <c r="F112" t="s">
        <v>1241</v>
      </c>
      <c r="G112" t="s">
        <v>31</v>
      </c>
      <c r="H112">
        <v>4</v>
      </c>
      <c r="I112">
        <v>140.09</v>
      </c>
      <c r="J112">
        <v>0</v>
      </c>
      <c r="K112">
        <v>560.36</v>
      </c>
      <c r="L112">
        <v>172.6</v>
      </c>
      <c r="M112">
        <v>690.4</v>
      </c>
      <c r="N112">
        <v>47</v>
      </c>
      <c r="O112" t="s">
        <v>26</v>
      </c>
      <c r="P112" t="s">
        <v>27</v>
      </c>
    </row>
    <row r="113" spans="1:16">
      <c r="A113">
        <v>100556</v>
      </c>
      <c r="B113" s="4">
        <v>45291</v>
      </c>
      <c r="C113" t="s">
        <v>1107</v>
      </c>
      <c r="D113" t="s">
        <v>68</v>
      </c>
      <c r="E113" t="s">
        <v>25</v>
      </c>
      <c r="F113" t="s">
        <v>1238</v>
      </c>
      <c r="G113" t="s">
        <v>31</v>
      </c>
      <c r="H113">
        <v>7</v>
      </c>
      <c r="I113">
        <v>242.24</v>
      </c>
      <c r="J113">
        <v>10</v>
      </c>
      <c r="K113">
        <v>1526.11</v>
      </c>
      <c r="L113">
        <v>393.25</v>
      </c>
      <c r="M113">
        <v>2752.75</v>
      </c>
      <c r="N113">
        <v>33</v>
      </c>
      <c r="O113" t="s">
        <v>26</v>
      </c>
      <c r="P113" t="s">
        <v>20</v>
      </c>
    </row>
    <row r="114" spans="1:16">
      <c r="A114">
        <v>100645</v>
      </c>
      <c r="B114" s="4">
        <v>45011</v>
      </c>
      <c r="C114" t="s">
        <v>1105</v>
      </c>
      <c r="D114" t="s">
        <v>68</v>
      </c>
      <c r="E114" t="s">
        <v>25</v>
      </c>
      <c r="F114" t="s">
        <v>1239</v>
      </c>
      <c r="G114" t="s">
        <v>18</v>
      </c>
      <c r="H114">
        <v>2</v>
      </c>
      <c r="I114">
        <v>216.3</v>
      </c>
      <c r="J114">
        <v>0</v>
      </c>
      <c r="K114">
        <v>432.6</v>
      </c>
      <c r="L114">
        <v>118.14</v>
      </c>
      <c r="M114">
        <v>236.28</v>
      </c>
      <c r="N114">
        <v>28</v>
      </c>
      <c r="O114" t="s">
        <v>26</v>
      </c>
      <c r="P114" t="s">
        <v>20</v>
      </c>
    </row>
    <row r="115" spans="1:16">
      <c r="A115">
        <v>100991</v>
      </c>
      <c r="B115" s="4">
        <v>45597</v>
      </c>
      <c r="C115" t="s">
        <v>166</v>
      </c>
      <c r="D115" t="s">
        <v>42</v>
      </c>
      <c r="E115" t="s">
        <v>25</v>
      </c>
      <c r="F115" t="s">
        <v>1238</v>
      </c>
      <c r="G115" t="s">
        <v>31</v>
      </c>
      <c r="H115">
        <v>5</v>
      </c>
      <c r="I115">
        <v>157.84</v>
      </c>
      <c r="J115">
        <v>0</v>
      </c>
      <c r="K115">
        <v>789.2</v>
      </c>
      <c r="L115">
        <v>266.93</v>
      </c>
      <c r="M115">
        <v>1334.65</v>
      </c>
      <c r="N115">
        <v>22</v>
      </c>
      <c r="O115" t="s">
        <v>19</v>
      </c>
      <c r="P115" t="s">
        <v>51</v>
      </c>
    </row>
    <row r="116" spans="1:16">
      <c r="A116">
        <v>101171</v>
      </c>
      <c r="B116" s="4">
        <v>45240</v>
      </c>
      <c r="C116" t="s">
        <v>1102</v>
      </c>
      <c r="D116" t="s">
        <v>39</v>
      </c>
      <c r="E116" t="s">
        <v>25</v>
      </c>
      <c r="F116" t="s">
        <v>1237</v>
      </c>
      <c r="G116" t="s">
        <v>18</v>
      </c>
      <c r="H116">
        <v>3</v>
      </c>
      <c r="I116">
        <v>173.57</v>
      </c>
      <c r="J116">
        <v>5</v>
      </c>
      <c r="K116">
        <v>494.67</v>
      </c>
      <c r="L116">
        <v>161.69</v>
      </c>
      <c r="M116">
        <v>485.07</v>
      </c>
      <c r="N116">
        <v>35</v>
      </c>
      <c r="O116" t="s">
        <v>26</v>
      </c>
      <c r="P116" t="s">
        <v>43</v>
      </c>
    </row>
    <row r="117" spans="1:16">
      <c r="A117">
        <v>101078</v>
      </c>
      <c r="B117" s="4">
        <v>45880</v>
      </c>
      <c r="C117" t="s">
        <v>1092</v>
      </c>
      <c r="D117" t="s">
        <v>42</v>
      </c>
      <c r="E117" t="s">
        <v>25</v>
      </c>
      <c r="F117" t="s">
        <v>1241</v>
      </c>
      <c r="G117" t="s">
        <v>18</v>
      </c>
      <c r="H117">
        <v>2</v>
      </c>
      <c r="I117">
        <v>130.94999999999999</v>
      </c>
      <c r="J117">
        <v>40</v>
      </c>
      <c r="K117">
        <v>157.13999999999999</v>
      </c>
      <c r="L117">
        <v>45.5</v>
      </c>
      <c r="M117">
        <v>91</v>
      </c>
      <c r="N117">
        <v>16</v>
      </c>
      <c r="O117" t="s">
        <v>19</v>
      </c>
      <c r="P117" t="s">
        <v>51</v>
      </c>
    </row>
    <row r="118" spans="1:16">
      <c r="A118">
        <v>100001</v>
      </c>
      <c r="B118" s="4">
        <v>44957</v>
      </c>
      <c r="C118" t="s">
        <v>1088</v>
      </c>
      <c r="D118" t="s">
        <v>24</v>
      </c>
      <c r="E118" t="s">
        <v>25</v>
      </c>
      <c r="F118" t="s">
        <v>1238</v>
      </c>
      <c r="G118" t="s">
        <v>18</v>
      </c>
      <c r="H118">
        <v>2</v>
      </c>
      <c r="I118">
        <v>102.68</v>
      </c>
      <c r="J118">
        <v>20</v>
      </c>
      <c r="K118">
        <v>164.29</v>
      </c>
      <c r="L118">
        <v>44.52</v>
      </c>
      <c r="M118">
        <v>89.04</v>
      </c>
      <c r="N118">
        <v>25</v>
      </c>
      <c r="O118" t="s">
        <v>26</v>
      </c>
      <c r="P118" t="s">
        <v>32</v>
      </c>
    </row>
    <row r="119" spans="1:16">
      <c r="A119">
        <v>100158</v>
      </c>
      <c r="B119" s="4">
        <v>45085</v>
      </c>
      <c r="C119" t="s">
        <v>170</v>
      </c>
      <c r="D119" t="s">
        <v>24</v>
      </c>
      <c r="E119" t="s">
        <v>25</v>
      </c>
      <c r="F119" t="s">
        <v>1237</v>
      </c>
      <c r="G119" t="s">
        <v>31</v>
      </c>
      <c r="H119">
        <v>3</v>
      </c>
      <c r="I119">
        <v>112.55</v>
      </c>
      <c r="J119">
        <v>5</v>
      </c>
      <c r="K119">
        <v>320.77</v>
      </c>
      <c r="L119">
        <v>85.58</v>
      </c>
      <c r="M119">
        <v>256.74</v>
      </c>
      <c r="N119">
        <v>31</v>
      </c>
      <c r="O119" t="s">
        <v>26</v>
      </c>
      <c r="P119" t="s">
        <v>81</v>
      </c>
    </row>
    <row r="120" spans="1:16">
      <c r="A120">
        <v>100641</v>
      </c>
      <c r="B120" s="4">
        <v>45462</v>
      </c>
      <c r="C120" t="s">
        <v>1087</v>
      </c>
      <c r="D120" t="s">
        <v>100</v>
      </c>
      <c r="E120" t="s">
        <v>25</v>
      </c>
      <c r="F120" t="s">
        <v>1238</v>
      </c>
      <c r="G120" t="s">
        <v>31</v>
      </c>
      <c r="H120">
        <v>5</v>
      </c>
      <c r="I120">
        <v>129.19999999999999</v>
      </c>
      <c r="J120">
        <v>10</v>
      </c>
      <c r="K120">
        <v>581.4</v>
      </c>
      <c r="L120">
        <v>211.31</v>
      </c>
      <c r="M120">
        <v>1056.55</v>
      </c>
      <c r="N120">
        <v>31</v>
      </c>
      <c r="O120" t="s">
        <v>19</v>
      </c>
      <c r="P120" t="s">
        <v>27</v>
      </c>
    </row>
    <row r="121" spans="1:16">
      <c r="A121">
        <v>100192</v>
      </c>
      <c r="B121" s="4">
        <v>45793</v>
      </c>
      <c r="C121" t="s">
        <v>172</v>
      </c>
      <c r="D121" t="s">
        <v>24</v>
      </c>
      <c r="E121" t="s">
        <v>25</v>
      </c>
      <c r="F121" t="s">
        <v>1237</v>
      </c>
      <c r="G121" t="s">
        <v>31</v>
      </c>
      <c r="H121">
        <v>6</v>
      </c>
      <c r="I121">
        <v>108.77</v>
      </c>
      <c r="J121">
        <v>40</v>
      </c>
      <c r="K121">
        <v>391.57</v>
      </c>
      <c r="L121">
        <v>124.48</v>
      </c>
      <c r="M121">
        <v>746.88</v>
      </c>
      <c r="N121">
        <v>30</v>
      </c>
      <c r="O121" t="s">
        <v>26</v>
      </c>
      <c r="P121" t="s">
        <v>20</v>
      </c>
    </row>
    <row r="122" spans="1:16">
      <c r="A122">
        <v>100219</v>
      </c>
      <c r="B122" s="4">
        <v>45415</v>
      </c>
      <c r="C122" t="s">
        <v>1086</v>
      </c>
      <c r="D122" t="s">
        <v>73</v>
      </c>
      <c r="E122" t="s">
        <v>25</v>
      </c>
      <c r="F122" t="s">
        <v>1241</v>
      </c>
      <c r="G122" t="s">
        <v>18</v>
      </c>
      <c r="H122">
        <v>3</v>
      </c>
      <c r="I122">
        <v>37.83</v>
      </c>
      <c r="J122">
        <v>0</v>
      </c>
      <c r="K122">
        <v>113.49</v>
      </c>
      <c r="L122">
        <v>34.380000000000003</v>
      </c>
      <c r="M122">
        <v>103.14000000000001</v>
      </c>
      <c r="N122">
        <v>39</v>
      </c>
      <c r="O122" t="s">
        <v>26</v>
      </c>
      <c r="P122" t="s">
        <v>27</v>
      </c>
    </row>
    <row r="123" spans="1:16">
      <c r="A123">
        <v>100854</v>
      </c>
      <c r="B123" s="4">
        <v>45905</v>
      </c>
      <c r="C123" t="s">
        <v>1085</v>
      </c>
      <c r="D123" t="s">
        <v>100</v>
      </c>
      <c r="E123" t="s">
        <v>25</v>
      </c>
      <c r="F123" t="s">
        <v>1237</v>
      </c>
      <c r="G123" t="s">
        <v>64</v>
      </c>
      <c r="H123">
        <v>3</v>
      </c>
      <c r="I123">
        <v>132.88999999999999</v>
      </c>
      <c r="J123">
        <v>0</v>
      </c>
      <c r="K123">
        <v>398.67</v>
      </c>
      <c r="L123">
        <v>113.52</v>
      </c>
      <c r="M123">
        <v>340.56</v>
      </c>
      <c r="N123">
        <v>22</v>
      </c>
      <c r="O123" t="s">
        <v>26</v>
      </c>
      <c r="P123" t="s">
        <v>46</v>
      </c>
    </row>
    <row r="124" spans="1:16">
      <c r="A124">
        <v>101139</v>
      </c>
      <c r="B124" s="4">
        <v>45272</v>
      </c>
      <c r="C124" t="s">
        <v>1083</v>
      </c>
      <c r="D124" t="s">
        <v>39</v>
      </c>
      <c r="E124" t="s">
        <v>25</v>
      </c>
      <c r="F124" t="s">
        <v>1241</v>
      </c>
      <c r="G124" t="s">
        <v>48</v>
      </c>
      <c r="H124">
        <v>4</v>
      </c>
      <c r="I124">
        <v>173.14</v>
      </c>
      <c r="J124">
        <v>10</v>
      </c>
      <c r="K124">
        <v>623.29999999999995</v>
      </c>
      <c r="L124">
        <v>146.57</v>
      </c>
      <c r="M124">
        <v>586.28</v>
      </c>
      <c r="N124">
        <v>24</v>
      </c>
      <c r="O124" t="s">
        <v>19</v>
      </c>
      <c r="P124" t="s">
        <v>20</v>
      </c>
    </row>
    <row r="125" spans="1:16">
      <c r="A125">
        <v>100122</v>
      </c>
      <c r="B125" s="4">
        <v>45263</v>
      </c>
      <c r="C125" t="s">
        <v>1079</v>
      </c>
      <c r="D125" t="s">
        <v>68</v>
      </c>
      <c r="E125" t="s">
        <v>25</v>
      </c>
      <c r="F125" t="s">
        <v>1237</v>
      </c>
      <c r="G125" t="s">
        <v>18</v>
      </c>
      <c r="H125">
        <v>2</v>
      </c>
      <c r="I125">
        <v>215.43</v>
      </c>
      <c r="J125">
        <v>0</v>
      </c>
      <c r="K125">
        <v>430.86</v>
      </c>
      <c r="L125">
        <v>96.88</v>
      </c>
      <c r="M125">
        <v>193.76</v>
      </c>
      <c r="N125">
        <v>16</v>
      </c>
      <c r="O125" t="s">
        <v>122</v>
      </c>
      <c r="P125" t="s">
        <v>35</v>
      </c>
    </row>
    <row r="126" spans="1:16">
      <c r="A126">
        <v>100413</v>
      </c>
      <c r="B126" s="4">
        <v>45667</v>
      </c>
      <c r="C126" t="s">
        <v>177</v>
      </c>
      <c r="D126" t="s">
        <v>87</v>
      </c>
      <c r="E126" t="s">
        <v>25</v>
      </c>
      <c r="F126" t="s">
        <v>1237</v>
      </c>
      <c r="G126" t="s">
        <v>31</v>
      </c>
      <c r="H126">
        <v>2</v>
      </c>
      <c r="I126">
        <v>87.26</v>
      </c>
      <c r="J126">
        <v>0</v>
      </c>
      <c r="K126">
        <v>174.52</v>
      </c>
      <c r="L126">
        <v>46.1</v>
      </c>
      <c r="M126">
        <v>92.2</v>
      </c>
      <c r="N126">
        <v>31</v>
      </c>
      <c r="O126" t="s">
        <v>19</v>
      </c>
      <c r="P126" t="s">
        <v>20</v>
      </c>
    </row>
    <row r="127" spans="1:16">
      <c r="A127">
        <v>100400</v>
      </c>
      <c r="B127" s="4">
        <v>45267</v>
      </c>
      <c r="C127" t="s">
        <v>1078</v>
      </c>
      <c r="D127" t="s">
        <v>42</v>
      </c>
      <c r="E127" t="s">
        <v>25</v>
      </c>
      <c r="F127" t="s">
        <v>1241</v>
      </c>
      <c r="G127" t="s">
        <v>31</v>
      </c>
      <c r="H127">
        <v>1</v>
      </c>
      <c r="I127">
        <v>165.61</v>
      </c>
      <c r="J127">
        <v>5</v>
      </c>
      <c r="K127">
        <v>157.33000000000001</v>
      </c>
      <c r="L127">
        <v>47.35</v>
      </c>
      <c r="M127">
        <v>47.35</v>
      </c>
      <c r="N127">
        <v>28</v>
      </c>
      <c r="O127" t="s">
        <v>26</v>
      </c>
      <c r="P127" t="s">
        <v>35</v>
      </c>
    </row>
    <row r="128" spans="1:16">
      <c r="A128">
        <v>100327</v>
      </c>
      <c r="B128" s="4">
        <v>45177</v>
      </c>
      <c r="C128" t="s">
        <v>179</v>
      </c>
      <c r="D128" t="s">
        <v>70</v>
      </c>
      <c r="E128" t="s">
        <v>25</v>
      </c>
      <c r="F128" t="s">
        <v>1238</v>
      </c>
      <c r="G128" t="s">
        <v>18</v>
      </c>
      <c r="H128">
        <v>1</v>
      </c>
      <c r="I128">
        <v>172.06</v>
      </c>
      <c r="J128">
        <v>5</v>
      </c>
      <c r="K128">
        <v>163.46</v>
      </c>
      <c r="L128">
        <v>33.630000000000003</v>
      </c>
      <c r="M128">
        <v>33.630000000000003</v>
      </c>
      <c r="N128">
        <v>27</v>
      </c>
      <c r="O128" t="s">
        <v>19</v>
      </c>
      <c r="P128" t="s">
        <v>81</v>
      </c>
    </row>
    <row r="129" spans="1:16">
      <c r="A129">
        <v>100293</v>
      </c>
      <c r="B129" s="4">
        <v>45222</v>
      </c>
      <c r="C129" t="s">
        <v>1076</v>
      </c>
      <c r="D129" t="s">
        <v>68</v>
      </c>
      <c r="E129" t="s">
        <v>25</v>
      </c>
      <c r="F129" t="s">
        <v>1239</v>
      </c>
      <c r="G129" t="s">
        <v>31</v>
      </c>
      <c r="H129">
        <v>4</v>
      </c>
      <c r="I129">
        <v>225.31</v>
      </c>
      <c r="J129">
        <v>20</v>
      </c>
      <c r="K129">
        <v>720.99</v>
      </c>
      <c r="L129">
        <v>212.69</v>
      </c>
      <c r="M129">
        <v>850.76</v>
      </c>
      <c r="N129">
        <v>28</v>
      </c>
      <c r="O129" t="s">
        <v>19</v>
      </c>
      <c r="P129" t="s">
        <v>81</v>
      </c>
    </row>
    <row r="130" spans="1:16">
      <c r="A130">
        <v>100981</v>
      </c>
      <c r="B130" s="4">
        <v>45192</v>
      </c>
      <c r="C130" t="s">
        <v>1072</v>
      </c>
      <c r="D130" t="s">
        <v>87</v>
      </c>
      <c r="E130" t="s">
        <v>25</v>
      </c>
      <c r="F130" t="s">
        <v>1241</v>
      </c>
      <c r="G130" t="s">
        <v>18</v>
      </c>
      <c r="H130">
        <v>4</v>
      </c>
      <c r="I130">
        <v>82.89</v>
      </c>
      <c r="J130">
        <v>5</v>
      </c>
      <c r="K130">
        <v>314.98</v>
      </c>
      <c r="L130">
        <v>108.31</v>
      </c>
      <c r="M130">
        <v>433.24</v>
      </c>
      <c r="N130">
        <v>28</v>
      </c>
      <c r="O130" t="s">
        <v>19</v>
      </c>
      <c r="P130" t="s">
        <v>51</v>
      </c>
    </row>
    <row r="131" spans="1:16">
      <c r="A131">
        <v>100630</v>
      </c>
      <c r="B131" s="4">
        <v>45587</v>
      </c>
      <c r="C131" t="s">
        <v>182</v>
      </c>
      <c r="D131" t="s">
        <v>70</v>
      </c>
      <c r="E131" t="s">
        <v>25</v>
      </c>
      <c r="F131" t="s">
        <v>1237</v>
      </c>
      <c r="G131" t="s">
        <v>48</v>
      </c>
      <c r="H131">
        <v>4</v>
      </c>
      <c r="I131">
        <v>149.07</v>
      </c>
      <c r="J131">
        <v>10</v>
      </c>
      <c r="K131">
        <v>536.65</v>
      </c>
      <c r="L131">
        <v>128.91999999999999</v>
      </c>
      <c r="M131">
        <v>515.67999999999995</v>
      </c>
      <c r="N131">
        <v>27</v>
      </c>
      <c r="O131" t="s">
        <v>19</v>
      </c>
      <c r="P131" t="s">
        <v>81</v>
      </c>
    </row>
    <row r="132" spans="1:16">
      <c r="A132">
        <v>100274</v>
      </c>
      <c r="B132" s="4">
        <v>45367</v>
      </c>
      <c r="C132" t="s">
        <v>183</v>
      </c>
      <c r="D132" t="s">
        <v>100</v>
      </c>
      <c r="E132" t="s">
        <v>25</v>
      </c>
      <c r="F132" t="s">
        <v>1238</v>
      </c>
      <c r="G132" t="s">
        <v>64</v>
      </c>
      <c r="H132">
        <v>2</v>
      </c>
      <c r="I132">
        <v>138.44999999999999</v>
      </c>
      <c r="J132">
        <v>10</v>
      </c>
      <c r="K132">
        <v>249.21</v>
      </c>
      <c r="L132">
        <v>81.96</v>
      </c>
      <c r="M132">
        <v>163.92</v>
      </c>
      <c r="N132">
        <v>33</v>
      </c>
      <c r="O132" t="s">
        <v>26</v>
      </c>
      <c r="P132" t="s">
        <v>43</v>
      </c>
    </row>
    <row r="133" spans="1:16">
      <c r="A133">
        <v>100143</v>
      </c>
      <c r="B133" s="4">
        <v>45223</v>
      </c>
      <c r="C133" t="s">
        <v>1070</v>
      </c>
      <c r="D133" t="s">
        <v>87</v>
      </c>
      <c r="E133" t="s">
        <v>25</v>
      </c>
      <c r="F133" t="s">
        <v>1240</v>
      </c>
      <c r="G133" t="s">
        <v>18</v>
      </c>
      <c r="H133">
        <v>4</v>
      </c>
      <c r="I133">
        <v>102.9</v>
      </c>
      <c r="J133">
        <v>5</v>
      </c>
      <c r="K133">
        <v>391.02</v>
      </c>
      <c r="L133">
        <v>106.05</v>
      </c>
      <c r="M133">
        <v>424.2</v>
      </c>
      <c r="N133">
        <v>30</v>
      </c>
      <c r="O133" t="s">
        <v>19</v>
      </c>
      <c r="P133" t="s">
        <v>46</v>
      </c>
    </row>
    <row r="134" spans="1:16">
      <c r="A134">
        <v>100186</v>
      </c>
      <c r="B134" s="4">
        <v>45800</v>
      </c>
      <c r="C134" t="s">
        <v>1068</v>
      </c>
      <c r="D134" t="s">
        <v>24</v>
      </c>
      <c r="E134" t="s">
        <v>25</v>
      </c>
      <c r="F134" t="s">
        <v>1239</v>
      </c>
      <c r="G134" t="s">
        <v>18</v>
      </c>
      <c r="H134">
        <v>4</v>
      </c>
      <c r="I134">
        <v>82.96</v>
      </c>
      <c r="J134">
        <v>5</v>
      </c>
      <c r="K134">
        <v>315.25</v>
      </c>
      <c r="L134">
        <v>106.56</v>
      </c>
      <c r="M134">
        <v>426.24</v>
      </c>
      <c r="N134">
        <v>22</v>
      </c>
      <c r="O134" t="s">
        <v>26</v>
      </c>
      <c r="P134" t="s">
        <v>43</v>
      </c>
    </row>
    <row r="135" spans="1:16">
      <c r="A135">
        <v>100659</v>
      </c>
      <c r="B135" s="4">
        <v>45038</v>
      </c>
      <c r="C135" t="s">
        <v>1066</v>
      </c>
      <c r="D135" t="s">
        <v>68</v>
      </c>
      <c r="E135" t="s">
        <v>25</v>
      </c>
      <c r="F135" t="s">
        <v>1238</v>
      </c>
      <c r="G135" t="s">
        <v>31</v>
      </c>
      <c r="H135">
        <v>3</v>
      </c>
      <c r="I135">
        <v>199.43</v>
      </c>
      <c r="J135">
        <v>0</v>
      </c>
      <c r="K135">
        <v>598.29</v>
      </c>
      <c r="L135">
        <v>224.28</v>
      </c>
      <c r="M135">
        <v>672.84</v>
      </c>
      <c r="N135">
        <v>44</v>
      </c>
      <c r="O135" t="s">
        <v>26</v>
      </c>
      <c r="P135" t="s">
        <v>46</v>
      </c>
    </row>
    <row r="136" spans="1:16">
      <c r="A136">
        <v>100954</v>
      </c>
      <c r="B136" s="4">
        <v>45085</v>
      </c>
      <c r="C136" t="s">
        <v>1064</v>
      </c>
      <c r="D136" t="s">
        <v>73</v>
      </c>
      <c r="E136" t="s">
        <v>25</v>
      </c>
      <c r="F136" t="s">
        <v>1239</v>
      </c>
      <c r="G136" t="s">
        <v>31</v>
      </c>
      <c r="H136">
        <v>2</v>
      </c>
      <c r="I136">
        <v>33.6</v>
      </c>
      <c r="J136">
        <v>10</v>
      </c>
      <c r="K136">
        <v>60.48</v>
      </c>
      <c r="L136">
        <v>17.829999999999998</v>
      </c>
      <c r="M136">
        <v>35.659999999999997</v>
      </c>
      <c r="N136">
        <v>32</v>
      </c>
      <c r="O136" t="s">
        <v>26</v>
      </c>
      <c r="P136" t="s">
        <v>32</v>
      </c>
    </row>
    <row r="137" spans="1:16">
      <c r="A137">
        <v>100931</v>
      </c>
      <c r="B137" s="4">
        <v>45788</v>
      </c>
      <c r="C137" t="s">
        <v>1063</v>
      </c>
      <c r="D137" t="s">
        <v>42</v>
      </c>
      <c r="E137" t="s">
        <v>25</v>
      </c>
      <c r="F137" t="s">
        <v>1241</v>
      </c>
      <c r="G137" t="s">
        <v>18</v>
      </c>
      <c r="H137">
        <v>4</v>
      </c>
      <c r="I137">
        <v>174.33</v>
      </c>
      <c r="J137">
        <v>20</v>
      </c>
      <c r="K137">
        <v>557.86</v>
      </c>
      <c r="L137">
        <v>139.22999999999999</v>
      </c>
      <c r="M137">
        <v>556.91999999999996</v>
      </c>
      <c r="N137">
        <v>16</v>
      </c>
      <c r="O137" t="s">
        <v>26</v>
      </c>
      <c r="P137" t="s">
        <v>32</v>
      </c>
    </row>
    <row r="138" spans="1:16">
      <c r="A138">
        <v>100146</v>
      </c>
      <c r="B138" s="4">
        <v>45168</v>
      </c>
      <c r="C138" t="s">
        <v>1058</v>
      </c>
      <c r="D138" t="s">
        <v>87</v>
      </c>
      <c r="E138" t="s">
        <v>25</v>
      </c>
      <c r="F138" t="s">
        <v>1241</v>
      </c>
      <c r="G138" t="s">
        <v>31</v>
      </c>
      <c r="H138">
        <v>3</v>
      </c>
      <c r="I138">
        <v>77.599999999999994</v>
      </c>
      <c r="J138">
        <v>10</v>
      </c>
      <c r="K138">
        <v>209.52</v>
      </c>
      <c r="L138">
        <v>72.59</v>
      </c>
      <c r="M138">
        <v>217.77</v>
      </c>
      <c r="N138">
        <v>29</v>
      </c>
      <c r="O138" t="s">
        <v>19</v>
      </c>
      <c r="P138" t="s">
        <v>27</v>
      </c>
    </row>
    <row r="139" spans="1:16">
      <c r="A139">
        <v>100710</v>
      </c>
      <c r="B139" s="4">
        <v>45273</v>
      </c>
      <c r="C139" t="s">
        <v>1055</v>
      </c>
      <c r="D139" t="s">
        <v>87</v>
      </c>
      <c r="E139" t="s">
        <v>25</v>
      </c>
      <c r="F139" t="s">
        <v>1239</v>
      </c>
      <c r="G139" t="s">
        <v>18</v>
      </c>
      <c r="H139">
        <v>2</v>
      </c>
      <c r="I139">
        <v>75.56</v>
      </c>
      <c r="J139">
        <v>0</v>
      </c>
      <c r="K139">
        <v>151.12</v>
      </c>
      <c r="L139">
        <v>33.24</v>
      </c>
      <c r="M139">
        <v>66.48</v>
      </c>
      <c r="N139">
        <v>22</v>
      </c>
      <c r="O139" t="s">
        <v>19</v>
      </c>
      <c r="P139" t="s">
        <v>20</v>
      </c>
    </row>
    <row r="140" spans="1:16">
      <c r="A140">
        <v>100819</v>
      </c>
      <c r="B140" s="4">
        <v>45433</v>
      </c>
      <c r="C140" t="s">
        <v>1054</v>
      </c>
      <c r="D140" t="s">
        <v>100</v>
      </c>
      <c r="E140" t="s">
        <v>25</v>
      </c>
      <c r="F140" t="s">
        <v>1238</v>
      </c>
      <c r="G140" t="s">
        <v>31</v>
      </c>
      <c r="H140">
        <v>2</v>
      </c>
      <c r="I140">
        <v>140.96</v>
      </c>
      <c r="J140">
        <v>0</v>
      </c>
      <c r="K140">
        <v>281.92</v>
      </c>
      <c r="L140">
        <v>97.1</v>
      </c>
      <c r="M140">
        <v>194.2</v>
      </c>
      <c r="N140">
        <v>32</v>
      </c>
      <c r="O140" t="s">
        <v>26</v>
      </c>
      <c r="P140" t="s">
        <v>20</v>
      </c>
    </row>
    <row r="141" spans="1:16">
      <c r="A141">
        <v>100488</v>
      </c>
      <c r="B141" s="4">
        <v>45728</v>
      </c>
      <c r="C141" t="s">
        <v>1053</v>
      </c>
      <c r="D141" t="s">
        <v>42</v>
      </c>
      <c r="E141" t="s">
        <v>25</v>
      </c>
      <c r="F141" t="s">
        <v>1238</v>
      </c>
      <c r="G141" t="s">
        <v>31</v>
      </c>
      <c r="H141">
        <v>1</v>
      </c>
      <c r="I141">
        <v>143.94</v>
      </c>
      <c r="J141">
        <v>10</v>
      </c>
      <c r="K141">
        <v>129.55000000000001</v>
      </c>
      <c r="L141">
        <v>29.34</v>
      </c>
      <c r="M141">
        <v>29.34</v>
      </c>
      <c r="N141">
        <v>25</v>
      </c>
      <c r="O141" t="s">
        <v>19</v>
      </c>
      <c r="P141" t="s">
        <v>81</v>
      </c>
    </row>
    <row r="142" spans="1:16">
      <c r="A142">
        <v>100935</v>
      </c>
      <c r="B142" s="4">
        <v>45131</v>
      </c>
      <c r="C142" t="s">
        <v>1051</v>
      </c>
      <c r="D142" t="s">
        <v>24</v>
      </c>
      <c r="E142" t="s">
        <v>25</v>
      </c>
      <c r="F142" t="s">
        <v>1241</v>
      </c>
      <c r="G142" t="s">
        <v>18</v>
      </c>
      <c r="H142">
        <v>1</v>
      </c>
      <c r="I142">
        <v>76.73</v>
      </c>
      <c r="J142">
        <v>10</v>
      </c>
      <c r="K142">
        <v>69.06</v>
      </c>
      <c r="L142">
        <v>23.17</v>
      </c>
      <c r="M142">
        <v>23.17</v>
      </c>
      <c r="N142">
        <v>54</v>
      </c>
      <c r="O142" t="s">
        <v>19</v>
      </c>
      <c r="P142" t="s">
        <v>27</v>
      </c>
    </row>
    <row r="143" spans="1:16">
      <c r="A143">
        <v>100550</v>
      </c>
      <c r="B143" s="4">
        <v>45691</v>
      </c>
      <c r="C143" t="s">
        <v>1049</v>
      </c>
      <c r="D143" t="s">
        <v>87</v>
      </c>
      <c r="E143" t="s">
        <v>25</v>
      </c>
      <c r="F143" t="s">
        <v>1237</v>
      </c>
      <c r="G143" t="s">
        <v>31</v>
      </c>
      <c r="H143">
        <v>3</v>
      </c>
      <c r="I143">
        <v>87.2</v>
      </c>
      <c r="J143">
        <v>0</v>
      </c>
      <c r="K143">
        <v>261.60000000000002</v>
      </c>
      <c r="L143">
        <v>63.47</v>
      </c>
      <c r="M143">
        <v>190.41</v>
      </c>
      <c r="N143">
        <v>16</v>
      </c>
      <c r="O143" t="s">
        <v>19</v>
      </c>
      <c r="P143" t="s">
        <v>32</v>
      </c>
    </row>
    <row r="144" spans="1:16">
      <c r="A144">
        <v>100952</v>
      </c>
      <c r="B144" s="4">
        <v>45364</v>
      </c>
      <c r="C144" t="s">
        <v>1043</v>
      </c>
      <c r="D144" t="s">
        <v>24</v>
      </c>
      <c r="E144" t="s">
        <v>25</v>
      </c>
      <c r="F144" t="s">
        <v>1239</v>
      </c>
      <c r="G144" t="s">
        <v>31</v>
      </c>
      <c r="H144">
        <v>4</v>
      </c>
      <c r="I144">
        <v>95.66</v>
      </c>
      <c r="J144">
        <v>0</v>
      </c>
      <c r="K144">
        <v>382.64</v>
      </c>
      <c r="L144">
        <v>106.68</v>
      </c>
      <c r="M144">
        <v>426.72</v>
      </c>
      <c r="N144">
        <v>39</v>
      </c>
      <c r="O144" t="s">
        <v>26</v>
      </c>
      <c r="P144" t="s">
        <v>35</v>
      </c>
    </row>
    <row r="145" spans="1:16">
      <c r="A145">
        <v>100636</v>
      </c>
      <c r="B145" s="4">
        <v>45222</v>
      </c>
      <c r="C145" t="s">
        <v>196</v>
      </c>
      <c r="D145" t="s">
        <v>68</v>
      </c>
      <c r="E145" t="s">
        <v>25</v>
      </c>
      <c r="F145" t="s">
        <v>1241</v>
      </c>
      <c r="G145" t="s">
        <v>18</v>
      </c>
      <c r="H145">
        <v>3</v>
      </c>
      <c r="I145">
        <v>228.65</v>
      </c>
      <c r="J145">
        <v>10</v>
      </c>
      <c r="K145">
        <v>617.36</v>
      </c>
      <c r="L145">
        <v>202.8</v>
      </c>
      <c r="M145">
        <v>608.40000000000009</v>
      </c>
      <c r="N145">
        <v>34</v>
      </c>
      <c r="O145" t="s">
        <v>19</v>
      </c>
      <c r="P145" t="s">
        <v>46</v>
      </c>
    </row>
    <row r="146" spans="1:16">
      <c r="A146">
        <v>100767</v>
      </c>
      <c r="B146" s="4">
        <v>45170</v>
      </c>
      <c r="C146" t="s">
        <v>197</v>
      </c>
      <c r="D146" t="s">
        <v>100</v>
      </c>
      <c r="E146" t="s">
        <v>25</v>
      </c>
      <c r="F146" t="s">
        <v>1237</v>
      </c>
      <c r="G146" t="s">
        <v>18</v>
      </c>
      <c r="H146">
        <v>5</v>
      </c>
      <c r="I146">
        <v>121.9</v>
      </c>
      <c r="J146">
        <v>10</v>
      </c>
      <c r="K146">
        <v>548.54999999999995</v>
      </c>
      <c r="L146">
        <v>197.81</v>
      </c>
      <c r="M146">
        <v>989.05</v>
      </c>
      <c r="N146">
        <v>26</v>
      </c>
      <c r="O146" t="s">
        <v>19</v>
      </c>
      <c r="P146" t="s">
        <v>32</v>
      </c>
    </row>
    <row r="147" spans="1:16">
      <c r="A147">
        <v>100414</v>
      </c>
      <c r="B147" s="4">
        <v>45029</v>
      </c>
      <c r="C147" t="s">
        <v>1039</v>
      </c>
      <c r="D147" t="s">
        <v>42</v>
      </c>
      <c r="E147" t="s">
        <v>25</v>
      </c>
      <c r="F147" t="s">
        <v>1239</v>
      </c>
      <c r="G147" t="s">
        <v>18</v>
      </c>
      <c r="H147">
        <v>4</v>
      </c>
      <c r="I147">
        <v>162.08000000000001</v>
      </c>
      <c r="J147">
        <v>0</v>
      </c>
      <c r="K147">
        <v>648.32000000000005</v>
      </c>
      <c r="L147">
        <v>195.84</v>
      </c>
      <c r="M147">
        <v>783.36</v>
      </c>
      <c r="N147">
        <v>30</v>
      </c>
      <c r="O147" t="s">
        <v>19</v>
      </c>
      <c r="P147" t="s">
        <v>32</v>
      </c>
    </row>
    <row r="148" spans="1:16">
      <c r="A148">
        <v>100717</v>
      </c>
      <c r="B148" s="4">
        <v>45017</v>
      </c>
      <c r="C148" t="s">
        <v>199</v>
      </c>
      <c r="D148" t="s">
        <v>39</v>
      </c>
      <c r="E148" t="s">
        <v>25</v>
      </c>
      <c r="F148" t="s">
        <v>1239</v>
      </c>
      <c r="G148" t="s">
        <v>18</v>
      </c>
      <c r="H148">
        <v>3</v>
      </c>
      <c r="I148">
        <v>164.39</v>
      </c>
      <c r="J148">
        <v>5</v>
      </c>
      <c r="K148">
        <v>468.51</v>
      </c>
      <c r="L148">
        <v>126.16</v>
      </c>
      <c r="M148">
        <v>378.48</v>
      </c>
      <c r="N148">
        <v>24</v>
      </c>
      <c r="O148" t="s">
        <v>19</v>
      </c>
      <c r="P148" t="s">
        <v>35</v>
      </c>
    </row>
    <row r="149" spans="1:16">
      <c r="A149">
        <v>100297</v>
      </c>
      <c r="B149" s="4">
        <v>45482</v>
      </c>
      <c r="C149" t="s">
        <v>1037</v>
      </c>
      <c r="D149" t="s">
        <v>70</v>
      </c>
      <c r="E149" t="s">
        <v>25</v>
      </c>
      <c r="F149" t="s">
        <v>1238</v>
      </c>
      <c r="G149" t="s">
        <v>18</v>
      </c>
      <c r="H149">
        <v>2</v>
      </c>
      <c r="I149">
        <v>156.19</v>
      </c>
      <c r="J149">
        <v>0</v>
      </c>
      <c r="K149">
        <v>312.38</v>
      </c>
      <c r="L149">
        <v>69.31</v>
      </c>
      <c r="M149">
        <v>138.62</v>
      </c>
      <c r="N149">
        <v>25</v>
      </c>
      <c r="O149" t="s">
        <v>26</v>
      </c>
      <c r="P149" t="s">
        <v>51</v>
      </c>
    </row>
    <row r="150" spans="1:16">
      <c r="A150">
        <v>100597</v>
      </c>
      <c r="B150" s="4">
        <v>45801</v>
      </c>
      <c r="C150" t="s">
        <v>201</v>
      </c>
      <c r="D150" t="s">
        <v>70</v>
      </c>
      <c r="E150" t="s">
        <v>25</v>
      </c>
      <c r="F150" t="s">
        <v>1239</v>
      </c>
      <c r="G150" t="s">
        <v>18</v>
      </c>
      <c r="H150">
        <v>4</v>
      </c>
      <c r="I150">
        <v>163.38999999999999</v>
      </c>
      <c r="J150">
        <v>0</v>
      </c>
      <c r="K150">
        <v>653.55999999999995</v>
      </c>
      <c r="L150">
        <v>153.12</v>
      </c>
      <c r="M150">
        <v>612.48</v>
      </c>
      <c r="N150">
        <v>44</v>
      </c>
      <c r="O150" t="s">
        <v>19</v>
      </c>
      <c r="P150" t="s">
        <v>81</v>
      </c>
    </row>
    <row r="151" spans="1:16">
      <c r="A151">
        <v>100481</v>
      </c>
      <c r="B151" s="4">
        <v>45850</v>
      </c>
      <c r="C151" t="s">
        <v>202</v>
      </c>
      <c r="D151" t="s">
        <v>100</v>
      </c>
      <c r="E151" t="s">
        <v>25</v>
      </c>
      <c r="F151" t="s">
        <v>1241</v>
      </c>
      <c r="G151" t="s">
        <v>64</v>
      </c>
      <c r="H151">
        <v>3</v>
      </c>
      <c r="I151">
        <v>116.64</v>
      </c>
      <c r="J151">
        <v>0</v>
      </c>
      <c r="K151">
        <v>349.92</v>
      </c>
      <c r="L151">
        <v>99.73</v>
      </c>
      <c r="M151">
        <v>299.19</v>
      </c>
      <c r="N151">
        <v>29</v>
      </c>
      <c r="O151" t="s">
        <v>19</v>
      </c>
      <c r="P151" t="s">
        <v>32</v>
      </c>
    </row>
    <row r="152" spans="1:16">
      <c r="A152">
        <v>100610</v>
      </c>
      <c r="B152" s="4">
        <v>45214</v>
      </c>
      <c r="C152" t="s">
        <v>1036</v>
      </c>
      <c r="D152" t="s">
        <v>39</v>
      </c>
      <c r="E152" t="s">
        <v>25</v>
      </c>
      <c r="F152" t="s">
        <v>1238</v>
      </c>
      <c r="G152" t="s">
        <v>31</v>
      </c>
      <c r="H152">
        <v>3</v>
      </c>
      <c r="I152">
        <v>189.4</v>
      </c>
      <c r="J152">
        <v>5</v>
      </c>
      <c r="K152">
        <v>539.79</v>
      </c>
      <c r="L152">
        <v>131.22999999999999</v>
      </c>
      <c r="M152">
        <v>393.68999999999994</v>
      </c>
      <c r="N152">
        <v>22</v>
      </c>
      <c r="O152" t="s">
        <v>26</v>
      </c>
      <c r="P152" t="s">
        <v>32</v>
      </c>
    </row>
    <row r="153" spans="1:16">
      <c r="A153">
        <v>100314</v>
      </c>
      <c r="B153" s="4">
        <v>45807</v>
      </c>
      <c r="C153" t="s">
        <v>204</v>
      </c>
      <c r="D153" t="s">
        <v>73</v>
      </c>
      <c r="E153" t="s">
        <v>25</v>
      </c>
      <c r="F153" t="s">
        <v>1241</v>
      </c>
      <c r="G153" t="s">
        <v>31</v>
      </c>
      <c r="H153">
        <v>1</v>
      </c>
      <c r="I153">
        <v>36.619999999999997</v>
      </c>
      <c r="J153">
        <v>10</v>
      </c>
      <c r="K153">
        <v>32.96</v>
      </c>
      <c r="L153">
        <v>10.42</v>
      </c>
      <c r="M153">
        <v>10.42</v>
      </c>
      <c r="N153">
        <v>23</v>
      </c>
      <c r="O153" t="s">
        <v>19</v>
      </c>
      <c r="P153" t="s">
        <v>32</v>
      </c>
    </row>
    <row r="154" spans="1:16">
      <c r="A154">
        <v>100262</v>
      </c>
      <c r="B154" s="4">
        <v>44943</v>
      </c>
      <c r="C154" t="s">
        <v>1035</v>
      </c>
      <c r="D154" t="s">
        <v>73</v>
      </c>
      <c r="E154" t="s">
        <v>25</v>
      </c>
      <c r="F154" t="s">
        <v>1237</v>
      </c>
      <c r="G154" t="s">
        <v>31</v>
      </c>
      <c r="H154">
        <v>5</v>
      </c>
      <c r="I154">
        <v>41.04</v>
      </c>
      <c r="J154">
        <v>0</v>
      </c>
      <c r="K154">
        <v>205.2</v>
      </c>
      <c r="L154">
        <v>55.35</v>
      </c>
      <c r="M154">
        <v>276.75</v>
      </c>
      <c r="N154">
        <v>20</v>
      </c>
      <c r="O154" t="s">
        <v>26</v>
      </c>
      <c r="P154" t="s">
        <v>27</v>
      </c>
    </row>
    <row r="155" spans="1:16">
      <c r="A155">
        <v>101030</v>
      </c>
      <c r="B155" s="4">
        <v>45061</v>
      </c>
      <c r="C155" t="s">
        <v>1033</v>
      </c>
      <c r="D155" t="s">
        <v>87</v>
      </c>
      <c r="E155" t="s">
        <v>25</v>
      </c>
      <c r="F155" t="s">
        <v>1237</v>
      </c>
      <c r="G155" t="s">
        <v>18</v>
      </c>
      <c r="H155">
        <v>5</v>
      </c>
      <c r="I155">
        <v>86.12</v>
      </c>
      <c r="J155">
        <v>0</v>
      </c>
      <c r="K155">
        <v>430.6</v>
      </c>
      <c r="L155">
        <v>99.43</v>
      </c>
      <c r="M155">
        <v>497.15000000000003</v>
      </c>
      <c r="N155">
        <v>20</v>
      </c>
      <c r="O155" t="s">
        <v>26</v>
      </c>
      <c r="P155" t="s">
        <v>81</v>
      </c>
    </row>
    <row r="156" spans="1:16">
      <c r="A156">
        <v>100933</v>
      </c>
      <c r="B156" s="4">
        <v>45379</v>
      </c>
      <c r="C156" t="s">
        <v>207</v>
      </c>
      <c r="D156" t="s">
        <v>70</v>
      </c>
      <c r="E156" t="s">
        <v>25</v>
      </c>
      <c r="F156" t="s">
        <v>1237</v>
      </c>
      <c r="G156" t="s">
        <v>31</v>
      </c>
      <c r="H156">
        <v>4</v>
      </c>
      <c r="I156">
        <v>160.63999999999999</v>
      </c>
      <c r="J156">
        <v>0</v>
      </c>
      <c r="K156">
        <v>642.55999999999995</v>
      </c>
      <c r="L156">
        <v>185.67</v>
      </c>
      <c r="M156">
        <v>742.68</v>
      </c>
      <c r="N156">
        <v>30</v>
      </c>
      <c r="O156" t="s">
        <v>19</v>
      </c>
      <c r="P156" t="s">
        <v>27</v>
      </c>
    </row>
    <row r="157" spans="1:16">
      <c r="A157">
        <v>100433</v>
      </c>
      <c r="B157" s="4">
        <v>45355</v>
      </c>
      <c r="C157" t="s">
        <v>208</v>
      </c>
      <c r="D157" t="s">
        <v>100</v>
      </c>
      <c r="E157" t="s">
        <v>25</v>
      </c>
      <c r="F157" t="s">
        <v>1237</v>
      </c>
      <c r="G157" t="s">
        <v>18</v>
      </c>
      <c r="H157">
        <v>2</v>
      </c>
      <c r="I157">
        <v>144.58000000000001</v>
      </c>
      <c r="J157">
        <v>0</v>
      </c>
      <c r="K157">
        <v>289.16000000000003</v>
      </c>
      <c r="L157">
        <v>96.15</v>
      </c>
      <c r="M157">
        <v>192.3</v>
      </c>
      <c r="N157">
        <v>17</v>
      </c>
      <c r="O157" t="s">
        <v>19</v>
      </c>
      <c r="P157" t="s">
        <v>20</v>
      </c>
    </row>
    <row r="158" spans="1:16">
      <c r="A158">
        <v>101144</v>
      </c>
      <c r="B158" s="4">
        <v>45874</v>
      </c>
      <c r="C158" t="s">
        <v>1032</v>
      </c>
      <c r="D158" t="s">
        <v>68</v>
      </c>
      <c r="E158" t="s">
        <v>25</v>
      </c>
      <c r="F158" t="s">
        <v>1241</v>
      </c>
      <c r="G158" t="s">
        <v>18</v>
      </c>
      <c r="H158">
        <v>3</v>
      </c>
      <c r="I158">
        <v>228.98</v>
      </c>
      <c r="J158">
        <v>0</v>
      </c>
      <c r="K158">
        <v>686.94</v>
      </c>
      <c r="L158">
        <v>181.13</v>
      </c>
      <c r="M158">
        <v>543.39</v>
      </c>
      <c r="N158">
        <v>34</v>
      </c>
      <c r="O158" t="s">
        <v>26</v>
      </c>
      <c r="P158" t="s">
        <v>32</v>
      </c>
    </row>
    <row r="159" spans="1:16">
      <c r="A159">
        <v>100623</v>
      </c>
      <c r="B159" s="4">
        <v>45074</v>
      </c>
      <c r="C159" t="s">
        <v>1031</v>
      </c>
      <c r="D159" t="s">
        <v>100</v>
      </c>
      <c r="E159" t="s">
        <v>25</v>
      </c>
      <c r="F159" t="s">
        <v>1238</v>
      </c>
      <c r="G159" t="s">
        <v>18</v>
      </c>
      <c r="H159">
        <v>3</v>
      </c>
      <c r="I159">
        <v>144.21</v>
      </c>
      <c r="J159">
        <v>40</v>
      </c>
      <c r="K159">
        <v>259.58</v>
      </c>
      <c r="L159">
        <v>84.4</v>
      </c>
      <c r="M159">
        <v>253.20000000000002</v>
      </c>
      <c r="N159">
        <v>44</v>
      </c>
      <c r="O159" t="s">
        <v>19</v>
      </c>
      <c r="P159" t="s">
        <v>43</v>
      </c>
    </row>
    <row r="160" spans="1:16">
      <c r="A160">
        <v>100880</v>
      </c>
      <c r="B160" s="4">
        <v>45907</v>
      </c>
      <c r="C160" t="s">
        <v>1029</v>
      </c>
      <c r="D160" t="s">
        <v>24</v>
      </c>
      <c r="E160" t="s">
        <v>25</v>
      </c>
      <c r="F160" t="s">
        <v>1241</v>
      </c>
      <c r="G160" t="s">
        <v>18</v>
      </c>
      <c r="H160">
        <v>5</v>
      </c>
      <c r="I160">
        <v>99.39</v>
      </c>
      <c r="J160">
        <v>0</v>
      </c>
      <c r="K160">
        <v>496.95</v>
      </c>
      <c r="L160">
        <v>145.88999999999999</v>
      </c>
      <c r="M160">
        <v>729.44999999999993</v>
      </c>
      <c r="N160">
        <v>33</v>
      </c>
      <c r="O160" t="s">
        <v>26</v>
      </c>
      <c r="P160" t="s">
        <v>27</v>
      </c>
    </row>
    <row r="161" spans="1:16">
      <c r="A161">
        <v>100303</v>
      </c>
      <c r="B161" s="4">
        <v>45389</v>
      </c>
      <c r="C161" t="s">
        <v>1026</v>
      </c>
      <c r="D161" t="s">
        <v>24</v>
      </c>
      <c r="E161" t="s">
        <v>25</v>
      </c>
      <c r="F161" t="s">
        <v>1239</v>
      </c>
      <c r="G161" t="s">
        <v>18</v>
      </c>
      <c r="H161">
        <v>4</v>
      </c>
      <c r="I161">
        <v>110.28</v>
      </c>
      <c r="J161">
        <v>0</v>
      </c>
      <c r="K161">
        <v>441.12</v>
      </c>
      <c r="L161">
        <v>163.15</v>
      </c>
      <c r="M161">
        <v>652.6</v>
      </c>
      <c r="N161">
        <v>30</v>
      </c>
      <c r="O161" t="s">
        <v>26</v>
      </c>
      <c r="P161" t="s">
        <v>20</v>
      </c>
    </row>
    <row r="162" spans="1:16">
      <c r="A162">
        <v>100036</v>
      </c>
      <c r="B162" s="4">
        <v>45004</v>
      </c>
      <c r="C162" t="s">
        <v>1022</v>
      </c>
      <c r="D162" t="s">
        <v>68</v>
      </c>
      <c r="E162" t="s">
        <v>25</v>
      </c>
      <c r="F162" t="s">
        <v>1239</v>
      </c>
      <c r="G162" t="s">
        <v>31</v>
      </c>
      <c r="H162">
        <v>4</v>
      </c>
      <c r="I162">
        <v>223.77</v>
      </c>
      <c r="J162">
        <v>0</v>
      </c>
      <c r="K162">
        <v>895.08</v>
      </c>
      <c r="L162">
        <v>212.77</v>
      </c>
      <c r="M162">
        <v>851.08</v>
      </c>
      <c r="N162">
        <v>30</v>
      </c>
      <c r="O162" t="s">
        <v>26</v>
      </c>
      <c r="P162" t="s">
        <v>35</v>
      </c>
    </row>
    <row r="163" spans="1:16">
      <c r="A163">
        <v>100008</v>
      </c>
      <c r="B163" s="4">
        <v>45768</v>
      </c>
      <c r="C163" t="s">
        <v>1020</v>
      </c>
      <c r="D163" t="s">
        <v>70</v>
      </c>
      <c r="E163" t="s">
        <v>25</v>
      </c>
      <c r="F163" t="s">
        <v>1238</v>
      </c>
      <c r="G163" t="s">
        <v>18</v>
      </c>
      <c r="H163">
        <v>2</v>
      </c>
      <c r="I163">
        <v>152.62</v>
      </c>
      <c r="J163">
        <v>0</v>
      </c>
      <c r="K163">
        <v>305.24</v>
      </c>
      <c r="L163">
        <v>105.03</v>
      </c>
      <c r="M163">
        <v>210.06</v>
      </c>
      <c r="N163">
        <v>21</v>
      </c>
      <c r="O163" t="s">
        <v>19</v>
      </c>
      <c r="P163" t="s">
        <v>43</v>
      </c>
    </row>
    <row r="164" spans="1:16">
      <c r="A164">
        <v>101024</v>
      </c>
      <c r="B164" s="4">
        <v>45289</v>
      </c>
      <c r="C164" t="s">
        <v>215</v>
      </c>
      <c r="D164" t="s">
        <v>87</v>
      </c>
      <c r="E164" t="s">
        <v>25</v>
      </c>
      <c r="F164" t="s">
        <v>1239</v>
      </c>
      <c r="G164" t="s">
        <v>18</v>
      </c>
      <c r="H164">
        <v>2</v>
      </c>
      <c r="I164">
        <v>87</v>
      </c>
      <c r="J164">
        <v>10</v>
      </c>
      <c r="K164">
        <v>156.6</v>
      </c>
      <c r="L164">
        <v>48.93</v>
      </c>
      <c r="M164">
        <v>97.86</v>
      </c>
      <c r="N164">
        <v>42</v>
      </c>
      <c r="O164" t="s">
        <v>26</v>
      </c>
      <c r="P164" t="s">
        <v>27</v>
      </c>
    </row>
    <row r="165" spans="1:16">
      <c r="A165">
        <v>100232</v>
      </c>
      <c r="B165" s="4">
        <v>45755</v>
      </c>
      <c r="C165" t="s">
        <v>1019</v>
      </c>
      <c r="D165" t="s">
        <v>70</v>
      </c>
      <c r="E165" t="s">
        <v>25</v>
      </c>
      <c r="F165" t="s">
        <v>1238</v>
      </c>
      <c r="G165" t="s">
        <v>31</v>
      </c>
      <c r="H165">
        <v>1</v>
      </c>
      <c r="I165">
        <v>147.78</v>
      </c>
      <c r="J165">
        <v>5</v>
      </c>
      <c r="K165">
        <v>140.38999999999999</v>
      </c>
      <c r="L165">
        <v>41.21</v>
      </c>
      <c r="M165">
        <v>41.21</v>
      </c>
      <c r="N165">
        <v>39</v>
      </c>
      <c r="O165" t="s">
        <v>26</v>
      </c>
      <c r="P165" t="s">
        <v>46</v>
      </c>
    </row>
    <row r="166" spans="1:16">
      <c r="A166">
        <v>100151</v>
      </c>
      <c r="B166" s="4">
        <v>45440</v>
      </c>
      <c r="C166" t="s">
        <v>1013</v>
      </c>
      <c r="D166" t="s">
        <v>68</v>
      </c>
      <c r="E166" t="s">
        <v>25</v>
      </c>
      <c r="F166" t="s">
        <v>1238</v>
      </c>
      <c r="G166" t="s">
        <v>48</v>
      </c>
      <c r="H166">
        <v>1</v>
      </c>
      <c r="I166">
        <v>228.82</v>
      </c>
      <c r="J166">
        <v>0</v>
      </c>
      <c r="K166">
        <v>228.82</v>
      </c>
      <c r="L166">
        <v>71.19</v>
      </c>
      <c r="M166">
        <v>71.19</v>
      </c>
      <c r="N166">
        <v>26</v>
      </c>
      <c r="O166" t="s">
        <v>19</v>
      </c>
      <c r="P166" t="s">
        <v>27</v>
      </c>
    </row>
    <row r="167" spans="1:16">
      <c r="A167">
        <v>100586</v>
      </c>
      <c r="B167" s="4">
        <v>45460</v>
      </c>
      <c r="C167" t="s">
        <v>1007</v>
      </c>
      <c r="D167" t="s">
        <v>87</v>
      </c>
      <c r="E167" t="s">
        <v>25</v>
      </c>
      <c r="F167" t="s">
        <v>1237</v>
      </c>
      <c r="G167" t="s">
        <v>18</v>
      </c>
      <c r="H167">
        <v>3</v>
      </c>
      <c r="I167">
        <v>85.28</v>
      </c>
      <c r="J167">
        <v>5</v>
      </c>
      <c r="K167">
        <v>243.05</v>
      </c>
      <c r="L167">
        <v>78.3</v>
      </c>
      <c r="M167">
        <v>234.89999999999998</v>
      </c>
      <c r="N167">
        <v>28</v>
      </c>
      <c r="O167" t="s">
        <v>122</v>
      </c>
      <c r="P167" t="s">
        <v>32</v>
      </c>
    </row>
    <row r="168" spans="1:16">
      <c r="A168">
        <v>100624</v>
      </c>
      <c r="B168" s="4">
        <v>45426</v>
      </c>
      <c r="C168" t="s">
        <v>1006</v>
      </c>
      <c r="D168" t="s">
        <v>39</v>
      </c>
      <c r="E168" t="s">
        <v>25</v>
      </c>
      <c r="F168" t="s">
        <v>1241</v>
      </c>
      <c r="G168" t="s">
        <v>31</v>
      </c>
      <c r="H168">
        <v>1</v>
      </c>
      <c r="I168">
        <v>190.17</v>
      </c>
      <c r="J168">
        <v>10</v>
      </c>
      <c r="K168">
        <v>171.15</v>
      </c>
      <c r="L168">
        <v>49.27</v>
      </c>
      <c r="M168">
        <v>49.27</v>
      </c>
      <c r="N168">
        <v>27</v>
      </c>
      <c r="O168" t="s">
        <v>19</v>
      </c>
      <c r="P168" t="s">
        <v>20</v>
      </c>
    </row>
    <row r="169" spans="1:16">
      <c r="A169">
        <v>100887</v>
      </c>
      <c r="B169" s="4">
        <v>45528</v>
      </c>
      <c r="C169" t="s">
        <v>220</v>
      </c>
      <c r="D169" t="s">
        <v>73</v>
      </c>
      <c r="E169" t="s">
        <v>25</v>
      </c>
      <c r="F169" t="s">
        <v>1241</v>
      </c>
      <c r="G169" t="s">
        <v>31</v>
      </c>
      <c r="H169">
        <v>2</v>
      </c>
      <c r="I169">
        <v>31.96</v>
      </c>
      <c r="J169">
        <v>10</v>
      </c>
      <c r="K169">
        <v>57.53</v>
      </c>
      <c r="L169">
        <v>20.43</v>
      </c>
      <c r="M169">
        <v>40.86</v>
      </c>
      <c r="N169">
        <v>27</v>
      </c>
      <c r="O169" t="s">
        <v>19</v>
      </c>
      <c r="P169" t="s">
        <v>51</v>
      </c>
    </row>
    <row r="170" spans="1:16">
      <c r="A170">
        <v>100818</v>
      </c>
      <c r="B170" s="4">
        <v>45467</v>
      </c>
      <c r="C170" t="s">
        <v>221</v>
      </c>
      <c r="D170" t="s">
        <v>39</v>
      </c>
      <c r="E170" t="s">
        <v>25</v>
      </c>
      <c r="F170" t="s">
        <v>1238</v>
      </c>
      <c r="G170" t="s">
        <v>18</v>
      </c>
      <c r="H170">
        <v>3</v>
      </c>
      <c r="I170">
        <v>164.27</v>
      </c>
      <c r="J170">
        <v>5</v>
      </c>
      <c r="K170">
        <v>468.17</v>
      </c>
      <c r="L170">
        <v>143.62</v>
      </c>
      <c r="M170">
        <v>430.86</v>
      </c>
      <c r="N170">
        <v>30</v>
      </c>
      <c r="O170" t="s">
        <v>19</v>
      </c>
      <c r="P170" t="s">
        <v>32</v>
      </c>
    </row>
    <row r="171" spans="1:16">
      <c r="A171">
        <v>100985</v>
      </c>
      <c r="B171" s="4">
        <v>45077</v>
      </c>
      <c r="C171" t="s">
        <v>1001</v>
      </c>
      <c r="D171" t="s">
        <v>100</v>
      </c>
      <c r="E171" t="s">
        <v>25</v>
      </c>
      <c r="F171" t="s">
        <v>1237</v>
      </c>
      <c r="G171" t="s">
        <v>48</v>
      </c>
      <c r="H171">
        <v>5</v>
      </c>
      <c r="I171">
        <v>121.9</v>
      </c>
      <c r="J171">
        <v>5</v>
      </c>
      <c r="K171">
        <v>579.02</v>
      </c>
      <c r="L171">
        <v>163.19999999999999</v>
      </c>
      <c r="M171">
        <v>816</v>
      </c>
      <c r="N171">
        <v>23</v>
      </c>
      <c r="O171" t="s">
        <v>19</v>
      </c>
      <c r="P171" t="s">
        <v>81</v>
      </c>
    </row>
    <row r="172" spans="1:16">
      <c r="A172">
        <v>100111</v>
      </c>
      <c r="B172" s="4">
        <v>45132</v>
      </c>
      <c r="C172" t="s">
        <v>999</v>
      </c>
      <c r="D172" t="s">
        <v>68</v>
      </c>
      <c r="E172" t="s">
        <v>25</v>
      </c>
      <c r="F172" t="s">
        <v>1239</v>
      </c>
      <c r="G172" t="s">
        <v>18</v>
      </c>
      <c r="H172">
        <v>3</v>
      </c>
      <c r="I172">
        <v>249.51</v>
      </c>
      <c r="J172">
        <v>0</v>
      </c>
      <c r="K172">
        <v>748.53</v>
      </c>
      <c r="L172">
        <v>257.95999999999998</v>
      </c>
      <c r="M172">
        <v>773.87999999999988</v>
      </c>
      <c r="N172">
        <v>30</v>
      </c>
      <c r="O172" t="s">
        <v>26</v>
      </c>
      <c r="P172" t="s">
        <v>20</v>
      </c>
    </row>
    <row r="173" spans="1:16">
      <c r="A173">
        <v>100978</v>
      </c>
      <c r="B173" s="4">
        <v>45659</v>
      </c>
      <c r="C173" t="s">
        <v>996</v>
      </c>
      <c r="D173" t="s">
        <v>39</v>
      </c>
      <c r="E173" t="s">
        <v>25</v>
      </c>
      <c r="F173" t="s">
        <v>1239</v>
      </c>
      <c r="G173" t="s">
        <v>48</v>
      </c>
      <c r="H173">
        <v>4</v>
      </c>
      <c r="I173">
        <v>176.76</v>
      </c>
      <c r="J173">
        <v>20</v>
      </c>
      <c r="K173">
        <v>565.63</v>
      </c>
      <c r="L173">
        <v>143.41999999999999</v>
      </c>
      <c r="M173">
        <v>573.67999999999995</v>
      </c>
      <c r="N173">
        <v>34</v>
      </c>
      <c r="O173" t="s">
        <v>19</v>
      </c>
      <c r="P173" t="s">
        <v>51</v>
      </c>
    </row>
    <row r="174" spans="1:16">
      <c r="A174">
        <v>101198</v>
      </c>
      <c r="B174" s="4">
        <v>45571</v>
      </c>
      <c r="C174" t="s">
        <v>994</v>
      </c>
      <c r="D174" t="s">
        <v>87</v>
      </c>
      <c r="E174" t="s">
        <v>25</v>
      </c>
      <c r="F174" t="s">
        <v>1237</v>
      </c>
      <c r="G174" t="s">
        <v>48</v>
      </c>
      <c r="H174">
        <v>3</v>
      </c>
      <c r="I174">
        <v>93.55</v>
      </c>
      <c r="J174">
        <v>20</v>
      </c>
      <c r="K174">
        <v>224.52</v>
      </c>
      <c r="L174">
        <v>71.14</v>
      </c>
      <c r="M174">
        <v>213.42000000000002</v>
      </c>
      <c r="N174">
        <v>33</v>
      </c>
      <c r="O174" t="s">
        <v>26</v>
      </c>
      <c r="P174" t="s">
        <v>32</v>
      </c>
    </row>
    <row r="175" spans="1:16">
      <c r="A175">
        <v>100913</v>
      </c>
      <c r="B175" s="4">
        <v>45737</v>
      </c>
      <c r="C175" t="s">
        <v>993</v>
      </c>
      <c r="D175" t="s">
        <v>24</v>
      </c>
      <c r="E175" t="s">
        <v>25</v>
      </c>
      <c r="F175" t="s">
        <v>1241</v>
      </c>
      <c r="G175" t="s">
        <v>31</v>
      </c>
      <c r="H175">
        <v>2</v>
      </c>
      <c r="I175">
        <v>99.67</v>
      </c>
      <c r="J175">
        <v>5</v>
      </c>
      <c r="K175">
        <v>189.37</v>
      </c>
      <c r="L175">
        <v>61.03</v>
      </c>
      <c r="M175">
        <v>122.06</v>
      </c>
      <c r="N175">
        <v>23</v>
      </c>
      <c r="O175" t="s">
        <v>19</v>
      </c>
      <c r="P175" t="s">
        <v>51</v>
      </c>
    </row>
    <row r="176" spans="1:16">
      <c r="A176">
        <v>100895</v>
      </c>
      <c r="B176" s="4">
        <v>45115</v>
      </c>
      <c r="C176" t="s">
        <v>992</v>
      </c>
      <c r="D176" t="s">
        <v>39</v>
      </c>
      <c r="E176" t="s">
        <v>25</v>
      </c>
      <c r="F176" t="s">
        <v>1241</v>
      </c>
      <c r="G176" t="s">
        <v>18</v>
      </c>
      <c r="H176">
        <v>3</v>
      </c>
      <c r="I176">
        <v>175.6</v>
      </c>
      <c r="J176">
        <v>5</v>
      </c>
      <c r="K176">
        <v>500.46</v>
      </c>
      <c r="L176">
        <v>131.79</v>
      </c>
      <c r="M176">
        <v>395.37</v>
      </c>
      <c r="N176">
        <v>27</v>
      </c>
      <c r="O176" t="s">
        <v>26</v>
      </c>
      <c r="P176" t="s">
        <v>20</v>
      </c>
    </row>
    <row r="177" spans="1:16">
      <c r="A177">
        <v>100560</v>
      </c>
      <c r="B177" s="4">
        <v>45463</v>
      </c>
      <c r="C177" t="s">
        <v>228</v>
      </c>
      <c r="D177" t="s">
        <v>70</v>
      </c>
      <c r="E177" t="s">
        <v>25</v>
      </c>
      <c r="F177" t="s">
        <v>1237</v>
      </c>
      <c r="G177" t="s">
        <v>18</v>
      </c>
      <c r="H177">
        <v>5</v>
      </c>
      <c r="I177">
        <v>154.01</v>
      </c>
      <c r="J177">
        <v>5</v>
      </c>
      <c r="K177">
        <v>731.55</v>
      </c>
      <c r="L177">
        <v>213.79</v>
      </c>
      <c r="M177">
        <v>1068.95</v>
      </c>
      <c r="N177">
        <v>26</v>
      </c>
      <c r="O177" t="s">
        <v>19</v>
      </c>
      <c r="P177" t="s">
        <v>35</v>
      </c>
    </row>
    <row r="178" spans="1:16">
      <c r="A178">
        <v>100680</v>
      </c>
      <c r="B178" s="4">
        <v>45090</v>
      </c>
      <c r="C178" t="s">
        <v>985</v>
      </c>
      <c r="D178" t="s">
        <v>70</v>
      </c>
      <c r="E178" t="s">
        <v>25</v>
      </c>
      <c r="F178" t="s">
        <v>1238</v>
      </c>
      <c r="G178" t="s">
        <v>18</v>
      </c>
      <c r="H178">
        <v>6</v>
      </c>
      <c r="I178">
        <v>140.27000000000001</v>
      </c>
      <c r="J178">
        <v>10</v>
      </c>
      <c r="K178">
        <v>757.46</v>
      </c>
      <c r="L178">
        <v>185.05</v>
      </c>
      <c r="M178">
        <v>1110.3000000000002</v>
      </c>
      <c r="N178">
        <v>33</v>
      </c>
      <c r="O178" t="s">
        <v>26</v>
      </c>
      <c r="P178" t="s">
        <v>46</v>
      </c>
    </row>
    <row r="179" spans="1:16">
      <c r="A179">
        <v>100800</v>
      </c>
      <c r="B179" s="4">
        <v>45188</v>
      </c>
      <c r="C179" t="s">
        <v>982</v>
      </c>
      <c r="D179" t="s">
        <v>42</v>
      </c>
      <c r="E179" t="s">
        <v>25</v>
      </c>
      <c r="F179" t="s">
        <v>1237</v>
      </c>
      <c r="G179" t="s">
        <v>18</v>
      </c>
      <c r="H179">
        <v>3</v>
      </c>
      <c r="I179">
        <v>142.61000000000001</v>
      </c>
      <c r="J179">
        <v>20</v>
      </c>
      <c r="K179">
        <v>342.26</v>
      </c>
      <c r="L179">
        <v>84.2</v>
      </c>
      <c r="M179">
        <v>252.60000000000002</v>
      </c>
      <c r="N179">
        <v>19</v>
      </c>
      <c r="O179" t="s">
        <v>26</v>
      </c>
      <c r="P179" t="s">
        <v>51</v>
      </c>
    </row>
    <row r="180" spans="1:16">
      <c r="A180">
        <v>101087</v>
      </c>
      <c r="B180" s="4">
        <v>45832</v>
      </c>
      <c r="C180" t="s">
        <v>981</v>
      </c>
      <c r="D180" t="s">
        <v>73</v>
      </c>
      <c r="E180" t="s">
        <v>25</v>
      </c>
      <c r="F180" t="s">
        <v>1237</v>
      </c>
      <c r="G180" t="s">
        <v>31</v>
      </c>
      <c r="H180">
        <v>4</v>
      </c>
      <c r="I180">
        <v>28.91</v>
      </c>
      <c r="J180">
        <v>0</v>
      </c>
      <c r="K180">
        <v>115.64</v>
      </c>
      <c r="L180">
        <v>27.23</v>
      </c>
      <c r="M180">
        <v>108.92</v>
      </c>
      <c r="N180">
        <v>32</v>
      </c>
      <c r="O180" t="s">
        <v>26</v>
      </c>
      <c r="P180" t="s">
        <v>43</v>
      </c>
    </row>
    <row r="181" spans="1:16">
      <c r="A181">
        <v>101182</v>
      </c>
      <c r="B181" s="4">
        <v>45155</v>
      </c>
      <c r="C181" t="s">
        <v>980</v>
      </c>
      <c r="D181" t="s">
        <v>68</v>
      </c>
      <c r="E181" t="s">
        <v>25</v>
      </c>
      <c r="F181" t="s">
        <v>1238</v>
      </c>
      <c r="G181" t="s">
        <v>64</v>
      </c>
      <c r="H181">
        <v>1</v>
      </c>
      <c r="I181">
        <v>235.5</v>
      </c>
      <c r="J181">
        <v>5</v>
      </c>
      <c r="K181">
        <v>223.72</v>
      </c>
      <c r="L181">
        <v>66.040000000000006</v>
      </c>
      <c r="M181">
        <v>66.040000000000006</v>
      </c>
      <c r="N181">
        <v>37</v>
      </c>
      <c r="O181" t="s">
        <v>26</v>
      </c>
      <c r="P181" t="s">
        <v>46</v>
      </c>
    </row>
    <row r="182" spans="1:16">
      <c r="A182">
        <v>100724</v>
      </c>
      <c r="B182" s="4">
        <v>45453</v>
      </c>
      <c r="C182" t="s">
        <v>233</v>
      </c>
      <c r="D182" t="s">
        <v>73</v>
      </c>
      <c r="E182" t="s">
        <v>25</v>
      </c>
      <c r="F182" t="s">
        <v>1241</v>
      </c>
      <c r="G182" t="s">
        <v>18</v>
      </c>
      <c r="H182">
        <v>2</v>
      </c>
      <c r="I182">
        <v>35.39</v>
      </c>
      <c r="J182">
        <v>0</v>
      </c>
      <c r="K182">
        <v>70.78</v>
      </c>
      <c r="L182">
        <v>24.76</v>
      </c>
      <c r="M182">
        <v>49.52</v>
      </c>
      <c r="N182">
        <v>21</v>
      </c>
      <c r="O182" t="s">
        <v>19</v>
      </c>
      <c r="P182" t="s">
        <v>43</v>
      </c>
    </row>
    <row r="183" spans="1:16">
      <c r="A183">
        <v>100826</v>
      </c>
      <c r="B183" s="4">
        <v>45650</v>
      </c>
      <c r="C183" t="s">
        <v>234</v>
      </c>
      <c r="D183" t="s">
        <v>70</v>
      </c>
      <c r="E183" t="s">
        <v>25</v>
      </c>
      <c r="F183" t="s">
        <v>1238</v>
      </c>
      <c r="G183" t="s">
        <v>31</v>
      </c>
      <c r="H183">
        <v>4</v>
      </c>
      <c r="I183">
        <v>148.62</v>
      </c>
      <c r="J183">
        <v>0</v>
      </c>
      <c r="K183">
        <v>594.48</v>
      </c>
      <c r="L183">
        <v>166.9</v>
      </c>
      <c r="M183">
        <v>667.6</v>
      </c>
      <c r="N183">
        <v>21</v>
      </c>
      <c r="O183" t="s">
        <v>19</v>
      </c>
      <c r="P183" t="s">
        <v>27</v>
      </c>
    </row>
    <row r="184" spans="1:16">
      <c r="A184">
        <v>100976</v>
      </c>
      <c r="B184" s="4">
        <v>45742</v>
      </c>
      <c r="C184" t="s">
        <v>979</v>
      </c>
      <c r="D184" t="s">
        <v>24</v>
      </c>
      <c r="E184" t="s">
        <v>25</v>
      </c>
      <c r="F184" t="s">
        <v>1237</v>
      </c>
      <c r="G184" t="s">
        <v>31</v>
      </c>
      <c r="H184">
        <v>4</v>
      </c>
      <c r="I184">
        <v>93.67</v>
      </c>
      <c r="J184">
        <v>5</v>
      </c>
      <c r="K184">
        <v>355.95</v>
      </c>
      <c r="L184">
        <v>113.89</v>
      </c>
      <c r="M184">
        <v>455.56</v>
      </c>
      <c r="N184">
        <v>32</v>
      </c>
      <c r="O184" t="s">
        <v>19</v>
      </c>
      <c r="P184" t="s">
        <v>35</v>
      </c>
    </row>
    <row r="185" spans="1:16">
      <c r="A185">
        <v>101039</v>
      </c>
      <c r="B185" s="4">
        <v>45041</v>
      </c>
      <c r="C185" t="s">
        <v>236</v>
      </c>
      <c r="D185" t="s">
        <v>87</v>
      </c>
      <c r="E185" t="s">
        <v>25</v>
      </c>
      <c r="F185" t="s">
        <v>1237</v>
      </c>
      <c r="G185" t="s">
        <v>31</v>
      </c>
      <c r="H185">
        <v>4</v>
      </c>
      <c r="I185">
        <v>88.19</v>
      </c>
      <c r="J185">
        <v>0</v>
      </c>
      <c r="K185">
        <v>352.76</v>
      </c>
      <c r="L185">
        <v>102.78</v>
      </c>
      <c r="M185">
        <v>411.12</v>
      </c>
      <c r="N185">
        <v>35</v>
      </c>
      <c r="O185" t="s">
        <v>26</v>
      </c>
      <c r="P185" t="s">
        <v>43</v>
      </c>
    </row>
    <row r="186" spans="1:16">
      <c r="A186">
        <v>101063</v>
      </c>
      <c r="B186" s="4">
        <v>45872</v>
      </c>
      <c r="C186" t="s">
        <v>976</v>
      </c>
      <c r="D186" t="s">
        <v>24</v>
      </c>
      <c r="E186" t="s">
        <v>25</v>
      </c>
      <c r="F186" t="s">
        <v>1237</v>
      </c>
      <c r="G186" t="s">
        <v>18</v>
      </c>
      <c r="H186">
        <v>3</v>
      </c>
      <c r="I186">
        <v>95.36</v>
      </c>
      <c r="J186">
        <v>0</v>
      </c>
      <c r="K186">
        <v>286.08</v>
      </c>
      <c r="L186">
        <v>61.27</v>
      </c>
      <c r="M186">
        <v>183.81</v>
      </c>
      <c r="N186">
        <v>19</v>
      </c>
      <c r="O186" t="s">
        <v>26</v>
      </c>
      <c r="P186" t="s">
        <v>35</v>
      </c>
    </row>
    <row r="187" spans="1:16">
      <c r="A187">
        <v>100997</v>
      </c>
      <c r="B187" s="4">
        <v>45207</v>
      </c>
      <c r="C187" t="s">
        <v>238</v>
      </c>
      <c r="D187" t="s">
        <v>87</v>
      </c>
      <c r="E187" t="s">
        <v>25</v>
      </c>
      <c r="F187" t="s">
        <v>1241</v>
      </c>
      <c r="G187" t="s">
        <v>31</v>
      </c>
      <c r="H187">
        <v>2</v>
      </c>
      <c r="I187">
        <v>73.12</v>
      </c>
      <c r="J187">
        <v>0</v>
      </c>
      <c r="K187">
        <v>146.24</v>
      </c>
      <c r="L187">
        <v>45.75</v>
      </c>
      <c r="M187">
        <v>91.5</v>
      </c>
      <c r="N187">
        <v>39</v>
      </c>
      <c r="O187" t="s">
        <v>19</v>
      </c>
      <c r="P187" t="s">
        <v>32</v>
      </c>
    </row>
    <row r="188" spans="1:16">
      <c r="A188">
        <v>101105</v>
      </c>
      <c r="B188" s="4">
        <v>45388</v>
      </c>
      <c r="C188" t="s">
        <v>974</v>
      </c>
      <c r="D188" t="s">
        <v>68</v>
      </c>
      <c r="E188" t="s">
        <v>25</v>
      </c>
      <c r="F188" t="s">
        <v>1237</v>
      </c>
      <c r="G188" t="s">
        <v>31</v>
      </c>
      <c r="H188">
        <v>4</v>
      </c>
      <c r="I188">
        <v>193.24</v>
      </c>
      <c r="J188">
        <v>0</v>
      </c>
      <c r="K188">
        <v>772.96</v>
      </c>
      <c r="L188">
        <v>233.34</v>
      </c>
      <c r="M188">
        <v>933.36</v>
      </c>
      <c r="N188">
        <v>38</v>
      </c>
      <c r="O188" t="s">
        <v>26</v>
      </c>
      <c r="P188" t="s">
        <v>51</v>
      </c>
    </row>
    <row r="189" spans="1:16">
      <c r="A189">
        <v>100194</v>
      </c>
      <c r="B189" s="4">
        <v>45010</v>
      </c>
      <c r="C189" t="s">
        <v>973</v>
      </c>
      <c r="D189" t="s">
        <v>70</v>
      </c>
      <c r="E189" t="s">
        <v>25</v>
      </c>
      <c r="F189" t="s">
        <v>1237</v>
      </c>
      <c r="G189" t="s">
        <v>18</v>
      </c>
      <c r="H189">
        <v>5</v>
      </c>
      <c r="I189">
        <v>137.62</v>
      </c>
      <c r="J189">
        <v>0</v>
      </c>
      <c r="K189">
        <v>688.1</v>
      </c>
      <c r="L189">
        <v>188.22</v>
      </c>
      <c r="M189">
        <v>941.1</v>
      </c>
      <c r="N189">
        <v>30</v>
      </c>
      <c r="O189" t="s">
        <v>26</v>
      </c>
      <c r="P189" t="s">
        <v>32</v>
      </c>
    </row>
    <row r="190" spans="1:16">
      <c r="A190">
        <v>100429</v>
      </c>
      <c r="B190" s="4">
        <v>45552</v>
      </c>
      <c r="C190" t="s">
        <v>241</v>
      </c>
      <c r="D190" t="s">
        <v>73</v>
      </c>
      <c r="E190" t="s">
        <v>25</v>
      </c>
      <c r="F190" t="s">
        <v>1240</v>
      </c>
      <c r="G190" t="s">
        <v>18</v>
      </c>
      <c r="H190">
        <v>1</v>
      </c>
      <c r="I190">
        <v>32.9</v>
      </c>
      <c r="J190">
        <v>20</v>
      </c>
      <c r="K190">
        <v>26.32</v>
      </c>
      <c r="L190">
        <v>8.7899999999999991</v>
      </c>
      <c r="M190">
        <v>8.7899999999999991</v>
      </c>
      <c r="N190">
        <v>20</v>
      </c>
      <c r="O190" t="s">
        <v>26</v>
      </c>
      <c r="P190" t="s">
        <v>51</v>
      </c>
    </row>
    <row r="191" spans="1:16">
      <c r="A191">
        <v>100506</v>
      </c>
      <c r="B191" s="4">
        <v>44939</v>
      </c>
      <c r="C191" t="s">
        <v>242</v>
      </c>
      <c r="D191" t="s">
        <v>73</v>
      </c>
      <c r="E191" t="s">
        <v>25</v>
      </c>
      <c r="F191" t="s">
        <v>1241</v>
      </c>
      <c r="G191" t="s">
        <v>18</v>
      </c>
      <c r="H191">
        <v>6</v>
      </c>
      <c r="I191">
        <v>40.630000000000003</v>
      </c>
      <c r="J191">
        <v>5</v>
      </c>
      <c r="K191">
        <v>231.59</v>
      </c>
      <c r="L191">
        <v>81.33</v>
      </c>
      <c r="M191">
        <v>487.98</v>
      </c>
      <c r="N191">
        <v>23</v>
      </c>
      <c r="O191" t="s">
        <v>19</v>
      </c>
      <c r="P191" t="s">
        <v>35</v>
      </c>
    </row>
    <row r="192" spans="1:16">
      <c r="A192">
        <v>100830</v>
      </c>
      <c r="B192" s="4">
        <v>45444</v>
      </c>
      <c r="C192" t="s">
        <v>243</v>
      </c>
      <c r="D192" t="s">
        <v>42</v>
      </c>
      <c r="E192" t="s">
        <v>25</v>
      </c>
      <c r="F192" t="s">
        <v>1238</v>
      </c>
      <c r="G192" t="s">
        <v>31</v>
      </c>
      <c r="H192">
        <v>2</v>
      </c>
      <c r="I192">
        <v>158.38999999999999</v>
      </c>
      <c r="J192">
        <v>10</v>
      </c>
      <c r="K192">
        <v>285.10000000000002</v>
      </c>
      <c r="L192">
        <v>99.32</v>
      </c>
      <c r="M192">
        <v>198.64</v>
      </c>
      <c r="N192">
        <v>37</v>
      </c>
      <c r="O192" t="s">
        <v>26</v>
      </c>
      <c r="P192" t="s">
        <v>51</v>
      </c>
    </row>
    <row r="193" spans="1:16">
      <c r="A193">
        <v>100693</v>
      </c>
      <c r="B193" s="4">
        <v>45717</v>
      </c>
      <c r="C193" t="s">
        <v>244</v>
      </c>
      <c r="D193" t="s">
        <v>68</v>
      </c>
      <c r="E193" t="s">
        <v>25</v>
      </c>
      <c r="F193" t="s">
        <v>1238</v>
      </c>
      <c r="G193" t="s">
        <v>31</v>
      </c>
      <c r="H193">
        <v>2</v>
      </c>
      <c r="I193">
        <v>238.44</v>
      </c>
      <c r="J193">
        <v>0</v>
      </c>
      <c r="K193">
        <v>476.88</v>
      </c>
      <c r="L193">
        <v>148.19</v>
      </c>
      <c r="M193">
        <v>296.38</v>
      </c>
      <c r="N193">
        <v>25</v>
      </c>
      <c r="O193" t="s">
        <v>26</v>
      </c>
      <c r="P193" t="s">
        <v>46</v>
      </c>
    </row>
    <row r="194" spans="1:16">
      <c r="A194">
        <v>100010</v>
      </c>
      <c r="B194" s="4">
        <v>45151</v>
      </c>
      <c r="C194" t="s">
        <v>245</v>
      </c>
      <c r="D194" t="s">
        <v>68</v>
      </c>
      <c r="E194" t="s">
        <v>25</v>
      </c>
      <c r="F194" t="s">
        <v>1241</v>
      </c>
      <c r="G194" t="s">
        <v>18</v>
      </c>
      <c r="H194">
        <v>1</v>
      </c>
      <c r="I194">
        <v>225.7</v>
      </c>
      <c r="J194">
        <v>0</v>
      </c>
      <c r="K194">
        <v>225.7</v>
      </c>
      <c r="L194">
        <v>63.36</v>
      </c>
      <c r="M194">
        <v>63.36</v>
      </c>
      <c r="N194">
        <v>34</v>
      </c>
      <c r="O194" t="s">
        <v>26</v>
      </c>
      <c r="P194" t="s">
        <v>35</v>
      </c>
    </row>
    <row r="195" spans="1:16">
      <c r="A195">
        <v>100687</v>
      </c>
      <c r="B195" s="4">
        <v>45735</v>
      </c>
      <c r="C195" t="s">
        <v>969</v>
      </c>
      <c r="D195" t="s">
        <v>100</v>
      </c>
      <c r="E195" t="s">
        <v>25</v>
      </c>
      <c r="F195" t="s">
        <v>1237</v>
      </c>
      <c r="G195" t="s">
        <v>31</v>
      </c>
      <c r="H195">
        <v>1</v>
      </c>
      <c r="I195">
        <v>138.72999999999999</v>
      </c>
      <c r="J195">
        <v>0</v>
      </c>
      <c r="K195">
        <v>138.72999999999999</v>
      </c>
      <c r="L195">
        <v>44.9</v>
      </c>
      <c r="M195">
        <v>44.9</v>
      </c>
      <c r="N195">
        <v>37</v>
      </c>
      <c r="O195" t="s">
        <v>26</v>
      </c>
      <c r="P195" t="s">
        <v>32</v>
      </c>
    </row>
    <row r="196" spans="1:16">
      <c r="A196">
        <v>100462</v>
      </c>
      <c r="B196" s="4">
        <v>45099</v>
      </c>
      <c r="C196" t="s">
        <v>247</v>
      </c>
      <c r="D196" t="s">
        <v>39</v>
      </c>
      <c r="E196" t="s">
        <v>25</v>
      </c>
      <c r="F196" t="s">
        <v>1237</v>
      </c>
      <c r="G196" t="s">
        <v>31</v>
      </c>
      <c r="H196">
        <v>1</v>
      </c>
      <c r="I196">
        <v>182.22</v>
      </c>
      <c r="J196">
        <v>5</v>
      </c>
      <c r="K196">
        <v>173.11</v>
      </c>
      <c r="L196">
        <v>66.75</v>
      </c>
      <c r="M196">
        <v>66.75</v>
      </c>
      <c r="N196">
        <v>35</v>
      </c>
      <c r="O196" t="s">
        <v>19</v>
      </c>
      <c r="P196" t="s">
        <v>20</v>
      </c>
    </row>
    <row r="197" spans="1:16">
      <c r="A197">
        <v>100374</v>
      </c>
      <c r="B197" s="4">
        <v>45781</v>
      </c>
      <c r="C197" t="s">
        <v>965</v>
      </c>
      <c r="D197" t="s">
        <v>100</v>
      </c>
      <c r="E197" t="s">
        <v>25</v>
      </c>
      <c r="F197" t="s">
        <v>1239</v>
      </c>
      <c r="G197" t="s">
        <v>48</v>
      </c>
      <c r="H197">
        <v>7</v>
      </c>
      <c r="I197">
        <v>123.33</v>
      </c>
      <c r="J197">
        <v>40</v>
      </c>
      <c r="K197">
        <v>517.99</v>
      </c>
      <c r="L197">
        <v>166.58</v>
      </c>
      <c r="M197">
        <v>1166.0600000000002</v>
      </c>
      <c r="N197">
        <v>23</v>
      </c>
      <c r="O197" t="s">
        <v>26</v>
      </c>
      <c r="P197" t="s">
        <v>32</v>
      </c>
    </row>
    <row r="198" spans="1:16">
      <c r="A198">
        <v>101180</v>
      </c>
      <c r="B198" s="4">
        <v>45203</v>
      </c>
      <c r="C198" t="s">
        <v>964</v>
      </c>
      <c r="D198" t="s">
        <v>87</v>
      </c>
      <c r="E198" t="s">
        <v>25</v>
      </c>
      <c r="F198" t="s">
        <v>1241</v>
      </c>
      <c r="G198" t="s">
        <v>18</v>
      </c>
      <c r="H198">
        <v>3</v>
      </c>
      <c r="I198">
        <v>94.73</v>
      </c>
      <c r="J198">
        <v>5</v>
      </c>
      <c r="K198">
        <v>269.98</v>
      </c>
      <c r="L198">
        <v>77.91</v>
      </c>
      <c r="M198">
        <v>233.73</v>
      </c>
      <c r="N198">
        <v>22</v>
      </c>
      <c r="O198" t="s">
        <v>26</v>
      </c>
      <c r="P198" t="s">
        <v>43</v>
      </c>
    </row>
    <row r="199" spans="1:16">
      <c r="A199">
        <v>100037</v>
      </c>
      <c r="B199" s="4">
        <v>45300</v>
      </c>
      <c r="C199" t="s">
        <v>961</v>
      </c>
      <c r="D199" t="s">
        <v>70</v>
      </c>
      <c r="E199" t="s">
        <v>25</v>
      </c>
      <c r="F199" t="s">
        <v>1241</v>
      </c>
      <c r="G199" t="s">
        <v>18</v>
      </c>
      <c r="H199">
        <v>5</v>
      </c>
      <c r="I199">
        <v>136.28</v>
      </c>
      <c r="J199">
        <v>0</v>
      </c>
      <c r="K199">
        <v>681.4</v>
      </c>
      <c r="L199">
        <v>235.26</v>
      </c>
      <c r="M199">
        <v>1176.3</v>
      </c>
      <c r="N199">
        <v>25</v>
      </c>
      <c r="O199" t="s">
        <v>26</v>
      </c>
      <c r="P199" t="s">
        <v>32</v>
      </c>
    </row>
    <row r="200" spans="1:16">
      <c r="A200">
        <v>100364</v>
      </c>
      <c r="B200" s="4">
        <v>45273</v>
      </c>
      <c r="C200" t="s">
        <v>959</v>
      </c>
      <c r="D200" t="s">
        <v>100</v>
      </c>
      <c r="E200" t="s">
        <v>25</v>
      </c>
      <c r="F200" t="s">
        <v>1239</v>
      </c>
      <c r="G200" t="s">
        <v>31</v>
      </c>
      <c r="H200">
        <v>2</v>
      </c>
      <c r="I200">
        <v>117.21</v>
      </c>
      <c r="J200">
        <v>0</v>
      </c>
      <c r="K200">
        <v>234.42</v>
      </c>
      <c r="L200">
        <v>76.150000000000006</v>
      </c>
      <c r="M200">
        <v>152.30000000000001</v>
      </c>
      <c r="N200">
        <v>51</v>
      </c>
      <c r="O200" t="s">
        <v>26</v>
      </c>
      <c r="P200" t="s">
        <v>35</v>
      </c>
    </row>
    <row r="201" spans="1:16">
      <c r="A201">
        <v>100026</v>
      </c>
      <c r="B201" s="4">
        <v>45085</v>
      </c>
      <c r="C201" t="s">
        <v>954</v>
      </c>
      <c r="D201" t="s">
        <v>73</v>
      </c>
      <c r="E201" t="s">
        <v>25</v>
      </c>
      <c r="F201" t="s">
        <v>1240</v>
      </c>
      <c r="G201" t="s">
        <v>31</v>
      </c>
      <c r="H201">
        <v>4</v>
      </c>
      <c r="I201">
        <v>32.03</v>
      </c>
      <c r="J201">
        <v>5</v>
      </c>
      <c r="K201">
        <v>121.71</v>
      </c>
      <c r="L201">
        <v>39.4</v>
      </c>
      <c r="M201">
        <v>157.6</v>
      </c>
      <c r="N201">
        <v>23</v>
      </c>
      <c r="O201" t="s">
        <v>26</v>
      </c>
      <c r="P201" t="s">
        <v>43</v>
      </c>
    </row>
    <row r="202" spans="1:16">
      <c r="A202">
        <v>100225</v>
      </c>
      <c r="B202" s="4">
        <v>45116</v>
      </c>
      <c r="C202" t="s">
        <v>953</v>
      </c>
      <c r="D202" t="s">
        <v>68</v>
      </c>
      <c r="E202" t="s">
        <v>25</v>
      </c>
      <c r="F202" t="s">
        <v>1240</v>
      </c>
      <c r="G202" t="s">
        <v>18</v>
      </c>
      <c r="H202">
        <v>2</v>
      </c>
      <c r="I202">
        <v>233.61</v>
      </c>
      <c r="J202">
        <v>5</v>
      </c>
      <c r="K202">
        <v>443.86</v>
      </c>
      <c r="L202">
        <v>130.18</v>
      </c>
      <c r="M202">
        <v>260.36</v>
      </c>
      <c r="N202">
        <v>28</v>
      </c>
      <c r="O202" t="s">
        <v>26</v>
      </c>
      <c r="P202" t="s">
        <v>46</v>
      </c>
    </row>
    <row r="203" spans="1:16">
      <c r="A203">
        <v>100907</v>
      </c>
      <c r="B203" s="4">
        <v>45451</v>
      </c>
      <c r="C203" t="s">
        <v>254</v>
      </c>
      <c r="D203" t="s">
        <v>100</v>
      </c>
      <c r="E203" t="s">
        <v>25</v>
      </c>
      <c r="F203" t="s">
        <v>1238</v>
      </c>
      <c r="G203" t="s">
        <v>18</v>
      </c>
      <c r="H203">
        <v>2</v>
      </c>
      <c r="I203">
        <v>134.09</v>
      </c>
      <c r="J203">
        <v>5</v>
      </c>
      <c r="K203">
        <v>254.77</v>
      </c>
      <c r="L203">
        <v>106.21</v>
      </c>
      <c r="M203">
        <v>212.42</v>
      </c>
      <c r="N203">
        <v>28</v>
      </c>
      <c r="O203" t="s">
        <v>26</v>
      </c>
      <c r="P203" t="s">
        <v>46</v>
      </c>
    </row>
    <row r="204" spans="1:16">
      <c r="A204">
        <v>100939</v>
      </c>
      <c r="B204" s="4">
        <v>44995</v>
      </c>
      <c r="C204" t="s">
        <v>952</v>
      </c>
      <c r="D204" t="s">
        <v>73</v>
      </c>
      <c r="E204" t="s">
        <v>25</v>
      </c>
      <c r="F204" t="s">
        <v>1237</v>
      </c>
      <c r="G204" t="s">
        <v>31</v>
      </c>
      <c r="H204">
        <v>5</v>
      </c>
      <c r="I204">
        <v>35.06</v>
      </c>
      <c r="J204">
        <v>5</v>
      </c>
      <c r="K204">
        <v>166.53</v>
      </c>
      <c r="L204">
        <v>51.25</v>
      </c>
      <c r="M204">
        <v>256.25</v>
      </c>
      <c r="N204">
        <v>33</v>
      </c>
      <c r="O204" t="s">
        <v>122</v>
      </c>
      <c r="P204" t="s">
        <v>35</v>
      </c>
    </row>
    <row r="205" spans="1:16">
      <c r="A205">
        <v>101128</v>
      </c>
      <c r="B205" s="4">
        <v>45420</v>
      </c>
      <c r="C205" t="s">
        <v>948</v>
      </c>
      <c r="D205" t="s">
        <v>73</v>
      </c>
      <c r="E205" t="s">
        <v>25</v>
      </c>
      <c r="F205" t="s">
        <v>1238</v>
      </c>
      <c r="G205" t="s">
        <v>31</v>
      </c>
      <c r="H205">
        <v>2</v>
      </c>
      <c r="I205">
        <v>34.69</v>
      </c>
      <c r="J205">
        <v>0</v>
      </c>
      <c r="K205">
        <v>69.38</v>
      </c>
      <c r="L205">
        <v>19.8</v>
      </c>
      <c r="M205">
        <v>39.6</v>
      </c>
      <c r="N205">
        <v>29</v>
      </c>
      <c r="O205" t="s">
        <v>26</v>
      </c>
      <c r="P205" t="s">
        <v>46</v>
      </c>
    </row>
    <row r="206" spans="1:16">
      <c r="A206">
        <v>100480</v>
      </c>
      <c r="B206" s="4">
        <v>45850</v>
      </c>
      <c r="C206" t="s">
        <v>947</v>
      </c>
      <c r="D206" t="s">
        <v>100</v>
      </c>
      <c r="E206" t="s">
        <v>25</v>
      </c>
      <c r="F206" t="s">
        <v>1239</v>
      </c>
      <c r="G206" t="s">
        <v>31</v>
      </c>
      <c r="H206">
        <v>2</v>
      </c>
      <c r="I206">
        <v>126.51</v>
      </c>
      <c r="J206">
        <v>0</v>
      </c>
      <c r="K206">
        <v>253.02</v>
      </c>
      <c r="L206">
        <v>65.92</v>
      </c>
      <c r="M206">
        <v>131.84</v>
      </c>
      <c r="N206">
        <v>26</v>
      </c>
      <c r="O206" t="s">
        <v>19</v>
      </c>
      <c r="P206" t="s">
        <v>27</v>
      </c>
    </row>
    <row r="207" spans="1:16">
      <c r="A207">
        <v>100220</v>
      </c>
      <c r="B207" s="4">
        <v>45862</v>
      </c>
      <c r="C207" t="s">
        <v>258</v>
      </c>
      <c r="D207" t="s">
        <v>42</v>
      </c>
      <c r="E207" t="s">
        <v>25</v>
      </c>
      <c r="F207" t="s">
        <v>1239</v>
      </c>
      <c r="G207" t="s">
        <v>64</v>
      </c>
      <c r="H207">
        <v>2</v>
      </c>
      <c r="I207">
        <v>154.19</v>
      </c>
      <c r="J207">
        <v>5</v>
      </c>
      <c r="K207">
        <v>292.95999999999998</v>
      </c>
      <c r="L207">
        <v>87.6</v>
      </c>
      <c r="M207">
        <v>175.2</v>
      </c>
      <c r="N207">
        <v>41</v>
      </c>
      <c r="O207" t="s">
        <v>26</v>
      </c>
      <c r="P207" t="s">
        <v>32</v>
      </c>
    </row>
    <row r="208" spans="1:16">
      <c r="A208">
        <v>100788</v>
      </c>
      <c r="B208" s="4">
        <v>45443</v>
      </c>
      <c r="C208" t="s">
        <v>259</v>
      </c>
      <c r="D208" t="s">
        <v>100</v>
      </c>
      <c r="E208" t="s">
        <v>25</v>
      </c>
      <c r="F208" t="s">
        <v>1240</v>
      </c>
      <c r="G208" t="s">
        <v>31</v>
      </c>
      <c r="H208">
        <v>4</v>
      </c>
      <c r="I208">
        <v>123.96</v>
      </c>
      <c r="J208">
        <v>5</v>
      </c>
      <c r="K208">
        <v>471.05</v>
      </c>
      <c r="L208">
        <v>135.24</v>
      </c>
      <c r="M208">
        <v>540.96</v>
      </c>
      <c r="N208">
        <v>36</v>
      </c>
      <c r="O208" t="s">
        <v>26</v>
      </c>
      <c r="P208" t="s">
        <v>81</v>
      </c>
    </row>
    <row r="209" spans="1:16">
      <c r="A209">
        <v>100515</v>
      </c>
      <c r="B209" s="4">
        <v>45816</v>
      </c>
      <c r="C209" t="s">
        <v>942</v>
      </c>
      <c r="D209" t="s">
        <v>42</v>
      </c>
      <c r="E209" t="s">
        <v>25</v>
      </c>
      <c r="F209" t="s">
        <v>1239</v>
      </c>
      <c r="G209" t="s">
        <v>18</v>
      </c>
      <c r="H209">
        <v>5</v>
      </c>
      <c r="I209">
        <v>158.09</v>
      </c>
      <c r="J209">
        <v>0</v>
      </c>
      <c r="K209">
        <v>790.45</v>
      </c>
      <c r="L209">
        <v>262.02</v>
      </c>
      <c r="M209">
        <v>1310.0999999999999</v>
      </c>
      <c r="N209">
        <v>23</v>
      </c>
      <c r="O209" t="s">
        <v>19</v>
      </c>
      <c r="P209" t="s">
        <v>32</v>
      </c>
    </row>
    <row r="210" spans="1:16">
      <c r="A210">
        <v>100713</v>
      </c>
      <c r="B210" s="4">
        <v>45252</v>
      </c>
      <c r="C210" t="s">
        <v>261</v>
      </c>
      <c r="D210" t="s">
        <v>100</v>
      </c>
      <c r="E210" t="s">
        <v>25</v>
      </c>
      <c r="F210" t="s">
        <v>1240</v>
      </c>
      <c r="G210" t="s">
        <v>48</v>
      </c>
      <c r="H210">
        <v>1</v>
      </c>
      <c r="I210">
        <v>111.35</v>
      </c>
      <c r="J210">
        <v>0</v>
      </c>
      <c r="K210">
        <v>111.35</v>
      </c>
      <c r="L210">
        <v>32.659999999999997</v>
      </c>
      <c r="M210">
        <v>32.659999999999997</v>
      </c>
      <c r="N210">
        <v>33</v>
      </c>
      <c r="O210" t="s">
        <v>26</v>
      </c>
      <c r="P210" t="s">
        <v>35</v>
      </c>
    </row>
    <row r="211" spans="1:16">
      <c r="A211">
        <v>101112</v>
      </c>
      <c r="B211" s="4">
        <v>45900</v>
      </c>
      <c r="C211" t="s">
        <v>262</v>
      </c>
      <c r="D211" t="s">
        <v>87</v>
      </c>
      <c r="E211" t="s">
        <v>25</v>
      </c>
      <c r="F211" t="s">
        <v>1237</v>
      </c>
      <c r="G211" t="s">
        <v>31</v>
      </c>
      <c r="H211">
        <v>2</v>
      </c>
      <c r="I211">
        <v>93.03</v>
      </c>
      <c r="J211">
        <v>5</v>
      </c>
      <c r="K211">
        <v>176.76</v>
      </c>
      <c r="L211">
        <v>56.59</v>
      </c>
      <c r="M211">
        <v>113.18</v>
      </c>
      <c r="N211">
        <v>30</v>
      </c>
      <c r="O211" t="s">
        <v>19</v>
      </c>
      <c r="P211" t="s">
        <v>32</v>
      </c>
    </row>
    <row r="212" spans="1:16">
      <c r="A212">
        <v>100546</v>
      </c>
      <c r="B212" s="4">
        <v>45465</v>
      </c>
      <c r="C212" t="s">
        <v>941</v>
      </c>
      <c r="D212" t="s">
        <v>100</v>
      </c>
      <c r="E212" t="s">
        <v>25</v>
      </c>
      <c r="F212" t="s">
        <v>1241</v>
      </c>
      <c r="G212" t="s">
        <v>18</v>
      </c>
      <c r="H212">
        <v>6</v>
      </c>
      <c r="I212">
        <v>137.22999999999999</v>
      </c>
      <c r="J212">
        <v>0</v>
      </c>
      <c r="K212">
        <v>823.38</v>
      </c>
      <c r="L212">
        <v>186.82</v>
      </c>
      <c r="M212">
        <v>1120.92</v>
      </c>
      <c r="N212">
        <v>22</v>
      </c>
      <c r="O212" t="s">
        <v>19</v>
      </c>
      <c r="P212" t="s">
        <v>27</v>
      </c>
    </row>
    <row r="213" spans="1:16">
      <c r="A213">
        <v>100191</v>
      </c>
      <c r="B213" s="4">
        <v>45441</v>
      </c>
      <c r="C213" t="s">
        <v>940</v>
      </c>
      <c r="D213" t="s">
        <v>70</v>
      </c>
      <c r="E213" t="s">
        <v>25</v>
      </c>
      <c r="F213" t="s">
        <v>1238</v>
      </c>
      <c r="G213" t="s">
        <v>18</v>
      </c>
      <c r="H213">
        <v>3</v>
      </c>
      <c r="I213">
        <v>157.69</v>
      </c>
      <c r="J213">
        <v>0</v>
      </c>
      <c r="K213">
        <v>473.07</v>
      </c>
      <c r="L213">
        <v>148.44</v>
      </c>
      <c r="M213">
        <v>445.32</v>
      </c>
      <c r="N213">
        <v>23</v>
      </c>
      <c r="O213" t="s">
        <v>26</v>
      </c>
      <c r="P213" t="s">
        <v>51</v>
      </c>
    </row>
    <row r="214" spans="1:16">
      <c r="A214">
        <v>100415</v>
      </c>
      <c r="B214" s="4">
        <v>45798</v>
      </c>
      <c r="C214" t="s">
        <v>265</v>
      </c>
      <c r="D214" t="s">
        <v>70</v>
      </c>
      <c r="E214" t="s">
        <v>25</v>
      </c>
      <c r="F214" t="s">
        <v>1241</v>
      </c>
      <c r="G214" t="s">
        <v>31</v>
      </c>
      <c r="H214">
        <v>3</v>
      </c>
      <c r="I214">
        <v>156.87</v>
      </c>
      <c r="J214">
        <v>10</v>
      </c>
      <c r="K214">
        <v>423.55</v>
      </c>
      <c r="L214">
        <v>165.28</v>
      </c>
      <c r="M214">
        <v>495.84000000000003</v>
      </c>
      <c r="N214">
        <v>28</v>
      </c>
      <c r="O214" t="s">
        <v>26</v>
      </c>
      <c r="P214" t="s">
        <v>46</v>
      </c>
    </row>
    <row r="215" spans="1:16">
      <c r="A215">
        <v>100898</v>
      </c>
      <c r="B215" s="4">
        <v>45859</v>
      </c>
      <c r="C215" t="s">
        <v>266</v>
      </c>
      <c r="D215" t="s">
        <v>87</v>
      </c>
      <c r="E215" t="s">
        <v>25</v>
      </c>
      <c r="F215" t="s">
        <v>1237</v>
      </c>
      <c r="G215" t="s">
        <v>18</v>
      </c>
      <c r="H215">
        <v>3</v>
      </c>
      <c r="I215">
        <v>79.150000000000006</v>
      </c>
      <c r="J215">
        <v>10</v>
      </c>
      <c r="K215">
        <v>213.71</v>
      </c>
      <c r="L215">
        <v>55.45</v>
      </c>
      <c r="M215">
        <v>166.35000000000002</v>
      </c>
      <c r="N215">
        <v>41</v>
      </c>
      <c r="O215" t="s">
        <v>19</v>
      </c>
      <c r="P215" t="s">
        <v>27</v>
      </c>
    </row>
    <row r="216" spans="1:16">
      <c r="A216">
        <v>100934</v>
      </c>
      <c r="B216" s="4">
        <v>45381</v>
      </c>
      <c r="C216" t="s">
        <v>267</v>
      </c>
      <c r="D216" t="s">
        <v>70</v>
      </c>
      <c r="E216" t="s">
        <v>25</v>
      </c>
      <c r="F216" t="s">
        <v>1241</v>
      </c>
      <c r="G216" t="s">
        <v>18</v>
      </c>
      <c r="H216">
        <v>3</v>
      </c>
      <c r="I216">
        <v>152.31</v>
      </c>
      <c r="J216">
        <v>0</v>
      </c>
      <c r="K216">
        <v>456.93</v>
      </c>
      <c r="L216">
        <v>191.73</v>
      </c>
      <c r="M216">
        <v>575.18999999999994</v>
      </c>
      <c r="N216">
        <v>22</v>
      </c>
      <c r="O216" t="s">
        <v>26</v>
      </c>
      <c r="P216" t="s">
        <v>51</v>
      </c>
    </row>
    <row r="217" spans="1:16">
      <c r="A217">
        <v>100048</v>
      </c>
      <c r="B217" s="4">
        <v>45379</v>
      </c>
      <c r="C217" t="s">
        <v>939</v>
      </c>
      <c r="D217" t="s">
        <v>73</v>
      </c>
      <c r="E217" t="s">
        <v>25</v>
      </c>
      <c r="F217" t="s">
        <v>1237</v>
      </c>
      <c r="G217" t="s">
        <v>64</v>
      </c>
      <c r="H217">
        <v>2</v>
      </c>
      <c r="I217">
        <v>36.24</v>
      </c>
      <c r="J217">
        <v>0</v>
      </c>
      <c r="K217">
        <v>72.48</v>
      </c>
      <c r="L217">
        <v>24.55</v>
      </c>
      <c r="M217">
        <v>49.1</v>
      </c>
      <c r="N217">
        <v>16</v>
      </c>
      <c r="O217" t="s">
        <v>19</v>
      </c>
      <c r="P217" t="s">
        <v>27</v>
      </c>
    </row>
    <row r="218" spans="1:16">
      <c r="A218">
        <v>100171</v>
      </c>
      <c r="B218" s="4">
        <v>45118</v>
      </c>
      <c r="C218" t="s">
        <v>936</v>
      </c>
      <c r="D218" t="s">
        <v>24</v>
      </c>
      <c r="E218" t="s">
        <v>25</v>
      </c>
      <c r="F218" t="s">
        <v>1238</v>
      </c>
      <c r="G218" t="s">
        <v>64</v>
      </c>
      <c r="H218">
        <v>3</v>
      </c>
      <c r="I218">
        <v>84.74</v>
      </c>
      <c r="J218">
        <v>0</v>
      </c>
      <c r="K218">
        <v>254.22</v>
      </c>
      <c r="L218">
        <v>79.44</v>
      </c>
      <c r="M218">
        <v>238.32</v>
      </c>
      <c r="N218">
        <v>42</v>
      </c>
      <c r="O218" t="s">
        <v>26</v>
      </c>
      <c r="P218" t="s">
        <v>81</v>
      </c>
    </row>
    <row r="219" spans="1:16">
      <c r="A219">
        <v>100247</v>
      </c>
      <c r="B219" s="4">
        <v>45821</v>
      </c>
      <c r="C219" t="s">
        <v>270</v>
      </c>
      <c r="D219" t="s">
        <v>24</v>
      </c>
      <c r="E219" t="s">
        <v>25</v>
      </c>
      <c r="F219" t="s">
        <v>1237</v>
      </c>
      <c r="G219" t="s">
        <v>31</v>
      </c>
      <c r="H219">
        <v>5</v>
      </c>
      <c r="I219">
        <v>92.32</v>
      </c>
      <c r="J219">
        <v>20</v>
      </c>
      <c r="K219">
        <v>369.28</v>
      </c>
      <c r="L219">
        <v>110.32</v>
      </c>
      <c r="M219">
        <v>551.59999999999991</v>
      </c>
      <c r="N219">
        <v>36</v>
      </c>
      <c r="O219" t="s">
        <v>19</v>
      </c>
      <c r="P219" t="s">
        <v>46</v>
      </c>
    </row>
    <row r="220" spans="1:16">
      <c r="A220">
        <v>100476</v>
      </c>
      <c r="B220" s="4">
        <v>45191</v>
      </c>
      <c r="C220" t="s">
        <v>933</v>
      </c>
      <c r="D220" t="s">
        <v>42</v>
      </c>
      <c r="E220" t="s">
        <v>25</v>
      </c>
      <c r="F220" t="s">
        <v>1238</v>
      </c>
      <c r="G220" t="s">
        <v>64</v>
      </c>
      <c r="H220">
        <v>3</v>
      </c>
      <c r="I220">
        <v>157.22</v>
      </c>
      <c r="J220">
        <v>0</v>
      </c>
      <c r="K220">
        <v>471.66</v>
      </c>
      <c r="L220">
        <v>134.22</v>
      </c>
      <c r="M220">
        <v>402.65999999999997</v>
      </c>
      <c r="N220">
        <v>28</v>
      </c>
      <c r="O220" t="s">
        <v>19</v>
      </c>
      <c r="P220" t="s">
        <v>20</v>
      </c>
    </row>
    <row r="221" spans="1:16">
      <c r="A221">
        <v>100372</v>
      </c>
      <c r="B221" s="4">
        <v>45233</v>
      </c>
      <c r="C221" t="s">
        <v>931</v>
      </c>
      <c r="D221" t="s">
        <v>24</v>
      </c>
      <c r="E221" t="s">
        <v>25</v>
      </c>
      <c r="F221" t="s">
        <v>1239</v>
      </c>
      <c r="G221" t="s">
        <v>18</v>
      </c>
      <c r="H221">
        <v>3</v>
      </c>
      <c r="I221">
        <v>90.24</v>
      </c>
      <c r="J221">
        <v>5</v>
      </c>
      <c r="K221">
        <v>257.18</v>
      </c>
      <c r="L221">
        <v>88.24</v>
      </c>
      <c r="M221">
        <v>264.71999999999997</v>
      </c>
      <c r="N221">
        <v>25</v>
      </c>
      <c r="O221" t="s">
        <v>19</v>
      </c>
      <c r="P221" t="s">
        <v>35</v>
      </c>
    </row>
    <row r="222" spans="1:16">
      <c r="A222">
        <v>101151</v>
      </c>
      <c r="B222" s="4">
        <v>45824</v>
      </c>
      <c r="C222" t="s">
        <v>929</v>
      </c>
      <c r="D222" t="s">
        <v>87</v>
      </c>
      <c r="E222" t="s">
        <v>25</v>
      </c>
      <c r="F222" t="s">
        <v>1241</v>
      </c>
      <c r="G222" t="s">
        <v>48</v>
      </c>
      <c r="H222">
        <v>3</v>
      </c>
      <c r="I222">
        <v>89.65</v>
      </c>
      <c r="J222">
        <v>0</v>
      </c>
      <c r="K222">
        <v>268.95</v>
      </c>
      <c r="L222">
        <v>98.54</v>
      </c>
      <c r="M222">
        <v>295.62</v>
      </c>
      <c r="N222">
        <v>47</v>
      </c>
      <c r="O222" t="s">
        <v>26</v>
      </c>
      <c r="P222" t="s">
        <v>81</v>
      </c>
    </row>
    <row r="223" spans="1:16">
      <c r="A223">
        <v>100967</v>
      </c>
      <c r="B223" s="4">
        <v>45423</v>
      </c>
      <c r="C223" t="s">
        <v>274</v>
      </c>
      <c r="D223" t="s">
        <v>87</v>
      </c>
      <c r="E223" t="s">
        <v>25</v>
      </c>
      <c r="F223" t="s">
        <v>1241</v>
      </c>
      <c r="G223" t="s">
        <v>64</v>
      </c>
      <c r="H223">
        <v>3</v>
      </c>
      <c r="I223">
        <v>80.41</v>
      </c>
      <c r="J223">
        <v>10</v>
      </c>
      <c r="K223">
        <v>217.11</v>
      </c>
      <c r="L223">
        <v>73.760000000000005</v>
      </c>
      <c r="M223">
        <v>221.28000000000003</v>
      </c>
      <c r="N223">
        <v>37</v>
      </c>
      <c r="O223" t="s">
        <v>19</v>
      </c>
      <c r="P223" t="s">
        <v>81</v>
      </c>
    </row>
    <row r="224" spans="1:16">
      <c r="A224">
        <v>101004</v>
      </c>
      <c r="B224" s="4">
        <v>45631</v>
      </c>
      <c r="C224" t="s">
        <v>275</v>
      </c>
      <c r="D224" t="s">
        <v>87</v>
      </c>
      <c r="E224" t="s">
        <v>25</v>
      </c>
      <c r="F224" t="s">
        <v>1241</v>
      </c>
      <c r="G224" t="s">
        <v>18</v>
      </c>
      <c r="H224">
        <v>4</v>
      </c>
      <c r="I224">
        <v>83.71</v>
      </c>
      <c r="J224">
        <v>0</v>
      </c>
      <c r="K224">
        <v>334.84</v>
      </c>
      <c r="L224">
        <v>75.38</v>
      </c>
      <c r="M224">
        <v>301.52</v>
      </c>
      <c r="N224">
        <v>20</v>
      </c>
      <c r="O224" t="s">
        <v>26</v>
      </c>
      <c r="P224" t="s">
        <v>51</v>
      </c>
    </row>
    <row r="225" spans="1:16">
      <c r="A225">
        <v>100744</v>
      </c>
      <c r="B225" s="4">
        <v>44957</v>
      </c>
      <c r="C225" t="s">
        <v>928</v>
      </c>
      <c r="D225" t="s">
        <v>87</v>
      </c>
      <c r="E225" t="s">
        <v>25</v>
      </c>
      <c r="F225" t="s">
        <v>1239</v>
      </c>
      <c r="G225" t="s">
        <v>31</v>
      </c>
      <c r="H225">
        <v>1</v>
      </c>
      <c r="I225">
        <v>81.45</v>
      </c>
      <c r="J225">
        <v>0</v>
      </c>
      <c r="K225">
        <v>81.45</v>
      </c>
      <c r="L225">
        <v>26.5</v>
      </c>
      <c r="M225">
        <v>26.5</v>
      </c>
      <c r="N225">
        <v>45</v>
      </c>
      <c r="O225" t="s">
        <v>26</v>
      </c>
      <c r="P225" t="s">
        <v>35</v>
      </c>
    </row>
    <row r="226" spans="1:16">
      <c r="A226">
        <v>101035</v>
      </c>
      <c r="B226" s="4">
        <v>45020</v>
      </c>
      <c r="C226" t="s">
        <v>926</v>
      </c>
      <c r="D226" t="s">
        <v>70</v>
      </c>
      <c r="E226" t="s">
        <v>25</v>
      </c>
      <c r="F226" t="s">
        <v>1238</v>
      </c>
      <c r="G226" t="s">
        <v>31</v>
      </c>
      <c r="H226">
        <v>2</v>
      </c>
      <c r="I226">
        <v>150.16</v>
      </c>
      <c r="J226">
        <v>5</v>
      </c>
      <c r="K226">
        <v>285.3</v>
      </c>
      <c r="L226">
        <v>104.02</v>
      </c>
      <c r="M226">
        <v>208.04</v>
      </c>
      <c r="N226">
        <v>24</v>
      </c>
      <c r="O226" t="s">
        <v>122</v>
      </c>
      <c r="P226" t="s">
        <v>51</v>
      </c>
    </row>
    <row r="227" spans="1:16">
      <c r="A227">
        <v>100496</v>
      </c>
      <c r="B227" s="4">
        <v>45499</v>
      </c>
      <c r="C227" t="s">
        <v>924</v>
      </c>
      <c r="D227" t="s">
        <v>24</v>
      </c>
      <c r="E227" t="s">
        <v>25</v>
      </c>
      <c r="F227" t="s">
        <v>1238</v>
      </c>
      <c r="G227" t="s">
        <v>18</v>
      </c>
      <c r="H227">
        <v>4</v>
      </c>
      <c r="I227">
        <v>103.78</v>
      </c>
      <c r="J227">
        <v>0</v>
      </c>
      <c r="K227">
        <v>415.12</v>
      </c>
      <c r="L227">
        <v>115.8</v>
      </c>
      <c r="M227">
        <v>463.2</v>
      </c>
      <c r="N227">
        <v>30</v>
      </c>
      <c r="O227" t="s">
        <v>26</v>
      </c>
      <c r="P227" t="s">
        <v>20</v>
      </c>
    </row>
    <row r="228" spans="1:16">
      <c r="A228">
        <v>100606</v>
      </c>
      <c r="B228" s="4">
        <v>45712</v>
      </c>
      <c r="C228" t="s">
        <v>921</v>
      </c>
      <c r="D228" t="s">
        <v>39</v>
      </c>
      <c r="E228" t="s">
        <v>25</v>
      </c>
      <c r="F228" t="s">
        <v>1238</v>
      </c>
      <c r="G228" t="s">
        <v>18</v>
      </c>
      <c r="H228">
        <v>4</v>
      </c>
      <c r="I228">
        <v>161.56</v>
      </c>
      <c r="J228">
        <v>10</v>
      </c>
      <c r="K228">
        <v>581.62</v>
      </c>
      <c r="L228">
        <v>180</v>
      </c>
      <c r="M228">
        <v>720</v>
      </c>
      <c r="N228">
        <v>31</v>
      </c>
      <c r="O228" t="s">
        <v>19</v>
      </c>
      <c r="P228" t="s">
        <v>81</v>
      </c>
    </row>
    <row r="229" spans="1:16">
      <c r="A229">
        <v>100083</v>
      </c>
      <c r="B229" s="4">
        <v>45362</v>
      </c>
      <c r="C229" t="s">
        <v>280</v>
      </c>
      <c r="D229" t="s">
        <v>87</v>
      </c>
      <c r="E229" t="s">
        <v>25</v>
      </c>
      <c r="F229" t="s">
        <v>1237</v>
      </c>
      <c r="G229" t="s">
        <v>48</v>
      </c>
      <c r="H229">
        <v>3</v>
      </c>
      <c r="I229">
        <v>87.25</v>
      </c>
      <c r="J229">
        <v>0</v>
      </c>
      <c r="K229">
        <v>261.75</v>
      </c>
      <c r="L229">
        <v>56.23</v>
      </c>
      <c r="M229">
        <v>168.69</v>
      </c>
      <c r="N229">
        <v>29</v>
      </c>
      <c r="O229" t="s">
        <v>19</v>
      </c>
      <c r="P229" t="s">
        <v>27</v>
      </c>
    </row>
    <row r="230" spans="1:16">
      <c r="A230">
        <v>100127</v>
      </c>
      <c r="B230" s="4">
        <v>45256</v>
      </c>
      <c r="C230" t="s">
        <v>913</v>
      </c>
      <c r="D230" t="s">
        <v>100</v>
      </c>
      <c r="E230" t="s">
        <v>25</v>
      </c>
      <c r="F230" t="s">
        <v>1241</v>
      </c>
      <c r="G230" t="s">
        <v>31</v>
      </c>
      <c r="H230">
        <v>2</v>
      </c>
      <c r="I230">
        <v>108.44</v>
      </c>
      <c r="J230">
        <v>10</v>
      </c>
      <c r="K230">
        <v>195.19</v>
      </c>
      <c r="L230">
        <v>44.82</v>
      </c>
      <c r="M230">
        <v>89.64</v>
      </c>
      <c r="N230">
        <v>23</v>
      </c>
      <c r="O230" t="s">
        <v>19</v>
      </c>
      <c r="P230" t="s">
        <v>43</v>
      </c>
    </row>
    <row r="231" spans="1:16">
      <c r="A231">
        <v>100792</v>
      </c>
      <c r="B231" s="4">
        <v>45709</v>
      </c>
      <c r="C231" t="s">
        <v>911</v>
      </c>
      <c r="D231" t="s">
        <v>68</v>
      </c>
      <c r="E231" t="s">
        <v>25</v>
      </c>
      <c r="F231" t="s">
        <v>1239</v>
      </c>
      <c r="G231" t="s">
        <v>31</v>
      </c>
      <c r="H231">
        <v>4</v>
      </c>
      <c r="I231">
        <v>252.89</v>
      </c>
      <c r="J231">
        <v>0</v>
      </c>
      <c r="K231">
        <v>1011.56</v>
      </c>
      <c r="L231">
        <v>324.7</v>
      </c>
      <c r="M231">
        <v>1298.8</v>
      </c>
      <c r="N231">
        <v>25</v>
      </c>
      <c r="O231" t="s">
        <v>26</v>
      </c>
      <c r="P231" t="s">
        <v>51</v>
      </c>
    </row>
    <row r="232" spans="1:16">
      <c r="A232">
        <v>100734</v>
      </c>
      <c r="B232" s="4">
        <v>45659</v>
      </c>
      <c r="C232" t="s">
        <v>910</v>
      </c>
      <c r="D232" t="s">
        <v>73</v>
      </c>
      <c r="E232" t="s">
        <v>25</v>
      </c>
      <c r="F232" t="s">
        <v>1241</v>
      </c>
      <c r="G232" t="s">
        <v>31</v>
      </c>
      <c r="H232">
        <v>2</v>
      </c>
      <c r="I232">
        <v>35.51</v>
      </c>
      <c r="J232">
        <v>0</v>
      </c>
      <c r="K232">
        <v>71.02</v>
      </c>
      <c r="L232">
        <v>25.62</v>
      </c>
      <c r="M232">
        <v>51.24</v>
      </c>
      <c r="N232">
        <v>42</v>
      </c>
      <c r="O232" t="s">
        <v>26</v>
      </c>
      <c r="P232" t="s">
        <v>27</v>
      </c>
    </row>
    <row r="233" spans="1:16">
      <c r="A233">
        <v>101143</v>
      </c>
      <c r="B233" s="4">
        <v>45831</v>
      </c>
      <c r="C233" t="s">
        <v>909</v>
      </c>
      <c r="D233" t="s">
        <v>70</v>
      </c>
      <c r="E233" t="s">
        <v>25</v>
      </c>
      <c r="F233" t="s">
        <v>1240</v>
      </c>
      <c r="G233" t="s">
        <v>18</v>
      </c>
      <c r="H233">
        <v>3</v>
      </c>
      <c r="I233">
        <v>141.38</v>
      </c>
      <c r="J233">
        <v>10</v>
      </c>
      <c r="K233">
        <v>381.73</v>
      </c>
      <c r="L233">
        <v>117.96</v>
      </c>
      <c r="M233">
        <v>353.88</v>
      </c>
      <c r="N233">
        <v>24</v>
      </c>
      <c r="O233" t="s">
        <v>26</v>
      </c>
      <c r="P233" t="s">
        <v>32</v>
      </c>
    </row>
    <row r="234" spans="1:16">
      <c r="A234">
        <v>100872</v>
      </c>
      <c r="B234" s="4">
        <v>45306</v>
      </c>
      <c r="C234" t="s">
        <v>907</v>
      </c>
      <c r="D234" t="s">
        <v>73</v>
      </c>
      <c r="E234" t="s">
        <v>25</v>
      </c>
      <c r="F234" t="s">
        <v>1241</v>
      </c>
      <c r="G234" t="s">
        <v>18</v>
      </c>
      <c r="H234">
        <v>4</v>
      </c>
      <c r="I234">
        <v>32.76</v>
      </c>
      <c r="J234">
        <v>5</v>
      </c>
      <c r="K234">
        <v>124.49</v>
      </c>
      <c r="L234">
        <v>35.81</v>
      </c>
      <c r="M234">
        <v>143.24</v>
      </c>
      <c r="N234">
        <v>27</v>
      </c>
      <c r="O234" t="s">
        <v>26</v>
      </c>
      <c r="P234" t="s">
        <v>43</v>
      </c>
    </row>
    <row r="235" spans="1:16">
      <c r="A235">
        <v>100644</v>
      </c>
      <c r="B235" s="4">
        <v>45519</v>
      </c>
      <c r="C235" t="s">
        <v>286</v>
      </c>
      <c r="D235" t="s">
        <v>42</v>
      </c>
      <c r="E235" t="s">
        <v>25</v>
      </c>
      <c r="F235" t="s">
        <v>1237</v>
      </c>
      <c r="G235" t="s">
        <v>18</v>
      </c>
      <c r="H235">
        <v>3</v>
      </c>
      <c r="I235">
        <v>161.80000000000001</v>
      </c>
      <c r="J235">
        <v>0</v>
      </c>
      <c r="K235">
        <v>485.4</v>
      </c>
      <c r="L235">
        <v>184.18</v>
      </c>
      <c r="M235">
        <v>552.54</v>
      </c>
      <c r="N235">
        <v>20</v>
      </c>
      <c r="O235" t="s">
        <v>19</v>
      </c>
      <c r="P235" t="s">
        <v>81</v>
      </c>
    </row>
    <row r="236" spans="1:16">
      <c r="A236">
        <v>100973</v>
      </c>
      <c r="B236" s="4">
        <v>45821</v>
      </c>
      <c r="C236" t="s">
        <v>287</v>
      </c>
      <c r="D236" t="s">
        <v>70</v>
      </c>
      <c r="E236" t="s">
        <v>25</v>
      </c>
      <c r="F236" t="s">
        <v>1237</v>
      </c>
      <c r="G236" t="s">
        <v>31</v>
      </c>
      <c r="H236">
        <v>3</v>
      </c>
      <c r="I236">
        <v>142.9</v>
      </c>
      <c r="J236">
        <v>0</v>
      </c>
      <c r="K236">
        <v>428.7</v>
      </c>
      <c r="L236">
        <v>137.94999999999999</v>
      </c>
      <c r="M236">
        <v>413.84999999999997</v>
      </c>
      <c r="N236">
        <v>34</v>
      </c>
      <c r="O236" t="s">
        <v>26</v>
      </c>
      <c r="P236" t="s">
        <v>46</v>
      </c>
    </row>
    <row r="237" spans="1:16">
      <c r="A237">
        <v>100382</v>
      </c>
      <c r="B237" s="4">
        <v>45767</v>
      </c>
      <c r="C237" t="s">
        <v>288</v>
      </c>
      <c r="D237" t="s">
        <v>70</v>
      </c>
      <c r="E237" t="s">
        <v>25</v>
      </c>
      <c r="F237" t="s">
        <v>1241</v>
      </c>
      <c r="G237" t="s">
        <v>18</v>
      </c>
      <c r="H237">
        <v>4</v>
      </c>
      <c r="I237">
        <v>160.12</v>
      </c>
      <c r="J237">
        <v>0</v>
      </c>
      <c r="K237">
        <v>640.48</v>
      </c>
      <c r="L237">
        <v>210.06</v>
      </c>
      <c r="M237">
        <v>840.24</v>
      </c>
      <c r="N237">
        <v>24</v>
      </c>
      <c r="O237" t="s">
        <v>26</v>
      </c>
      <c r="P237" t="s">
        <v>35</v>
      </c>
    </row>
    <row r="238" spans="1:16">
      <c r="A238">
        <v>100867</v>
      </c>
      <c r="B238" s="4">
        <v>45142</v>
      </c>
      <c r="C238" t="s">
        <v>289</v>
      </c>
      <c r="D238" t="s">
        <v>100</v>
      </c>
      <c r="E238" t="s">
        <v>25</v>
      </c>
      <c r="F238" t="s">
        <v>1237</v>
      </c>
      <c r="G238" t="s">
        <v>48</v>
      </c>
      <c r="H238">
        <v>3</v>
      </c>
      <c r="I238">
        <v>138.03</v>
      </c>
      <c r="J238">
        <v>0</v>
      </c>
      <c r="K238">
        <v>414.09</v>
      </c>
      <c r="L238">
        <v>137.47999999999999</v>
      </c>
      <c r="M238">
        <v>412.43999999999994</v>
      </c>
      <c r="N238">
        <v>19</v>
      </c>
      <c r="O238" t="s">
        <v>19</v>
      </c>
      <c r="P238" t="s">
        <v>20</v>
      </c>
    </row>
    <row r="239" spans="1:16">
      <c r="A239">
        <v>101199</v>
      </c>
      <c r="B239" s="4">
        <v>45275</v>
      </c>
      <c r="C239" t="s">
        <v>905</v>
      </c>
      <c r="D239" t="s">
        <v>42</v>
      </c>
      <c r="E239" t="s">
        <v>25</v>
      </c>
      <c r="F239" t="s">
        <v>1240</v>
      </c>
      <c r="G239" t="s">
        <v>31</v>
      </c>
      <c r="H239">
        <v>2</v>
      </c>
      <c r="I239">
        <v>176.23</v>
      </c>
      <c r="J239">
        <v>0</v>
      </c>
      <c r="K239">
        <v>352.46</v>
      </c>
      <c r="L239">
        <v>120.59</v>
      </c>
      <c r="M239">
        <v>241.18</v>
      </c>
      <c r="N239">
        <v>36</v>
      </c>
      <c r="O239" t="s">
        <v>26</v>
      </c>
      <c r="P239" t="s">
        <v>51</v>
      </c>
    </row>
    <row r="240" spans="1:16">
      <c r="A240">
        <v>101193</v>
      </c>
      <c r="B240" s="4">
        <v>45799</v>
      </c>
      <c r="C240" t="s">
        <v>291</v>
      </c>
      <c r="D240" t="s">
        <v>42</v>
      </c>
      <c r="E240" t="s">
        <v>25</v>
      </c>
      <c r="F240" t="s">
        <v>1237</v>
      </c>
      <c r="G240" t="s">
        <v>31</v>
      </c>
      <c r="H240">
        <v>3</v>
      </c>
      <c r="I240">
        <v>156.99</v>
      </c>
      <c r="J240">
        <v>20</v>
      </c>
      <c r="K240">
        <v>376.78</v>
      </c>
      <c r="L240">
        <v>142.68</v>
      </c>
      <c r="M240">
        <v>428.04</v>
      </c>
      <c r="N240">
        <v>25</v>
      </c>
      <c r="O240" t="s">
        <v>19</v>
      </c>
      <c r="P240" t="s">
        <v>43</v>
      </c>
    </row>
    <row r="241" spans="1:16">
      <c r="A241">
        <v>100874</v>
      </c>
      <c r="B241" s="4">
        <v>45431</v>
      </c>
      <c r="C241" t="s">
        <v>292</v>
      </c>
      <c r="D241" t="s">
        <v>100</v>
      </c>
      <c r="E241" t="s">
        <v>25</v>
      </c>
      <c r="F241" t="s">
        <v>1241</v>
      </c>
      <c r="G241" t="s">
        <v>48</v>
      </c>
      <c r="H241">
        <v>4</v>
      </c>
      <c r="I241">
        <v>134.99</v>
      </c>
      <c r="J241">
        <v>20</v>
      </c>
      <c r="K241">
        <v>431.97</v>
      </c>
      <c r="L241">
        <v>106.8</v>
      </c>
      <c r="M241">
        <v>427.2</v>
      </c>
      <c r="N241">
        <v>36</v>
      </c>
      <c r="O241" t="s">
        <v>26</v>
      </c>
      <c r="P241" t="s">
        <v>20</v>
      </c>
    </row>
    <row r="242" spans="1:16">
      <c r="A242">
        <v>100625</v>
      </c>
      <c r="B242" s="4">
        <v>45447</v>
      </c>
      <c r="C242" t="s">
        <v>904</v>
      </c>
      <c r="D242" t="s">
        <v>87</v>
      </c>
      <c r="E242" t="s">
        <v>25</v>
      </c>
      <c r="F242" t="s">
        <v>1237</v>
      </c>
      <c r="G242" t="s">
        <v>18</v>
      </c>
      <c r="H242">
        <v>4</v>
      </c>
      <c r="I242">
        <v>83.94</v>
      </c>
      <c r="J242">
        <v>5</v>
      </c>
      <c r="K242">
        <v>318.97000000000003</v>
      </c>
      <c r="L242">
        <v>118.43</v>
      </c>
      <c r="M242">
        <v>473.72</v>
      </c>
      <c r="N242">
        <v>25</v>
      </c>
      <c r="O242" t="s">
        <v>19</v>
      </c>
      <c r="P242" t="s">
        <v>27</v>
      </c>
    </row>
    <row r="243" spans="1:16">
      <c r="A243">
        <v>100409</v>
      </c>
      <c r="B243" s="4">
        <v>45604</v>
      </c>
      <c r="C243" t="s">
        <v>294</v>
      </c>
      <c r="D243" t="s">
        <v>87</v>
      </c>
      <c r="E243" t="s">
        <v>25</v>
      </c>
      <c r="F243" t="s">
        <v>1241</v>
      </c>
      <c r="G243" t="s">
        <v>31</v>
      </c>
      <c r="H243">
        <v>4</v>
      </c>
      <c r="I243">
        <v>88.17</v>
      </c>
      <c r="J243">
        <v>0</v>
      </c>
      <c r="K243">
        <v>352.68</v>
      </c>
      <c r="L243">
        <v>91.08</v>
      </c>
      <c r="M243">
        <v>364.32</v>
      </c>
      <c r="N243">
        <v>46</v>
      </c>
      <c r="O243" t="s">
        <v>26</v>
      </c>
      <c r="P243" t="s">
        <v>27</v>
      </c>
    </row>
    <row r="244" spans="1:16">
      <c r="A244">
        <v>100076</v>
      </c>
      <c r="B244" s="4">
        <v>45924</v>
      </c>
      <c r="C244" t="s">
        <v>295</v>
      </c>
      <c r="D244" t="s">
        <v>70</v>
      </c>
      <c r="E244" t="s">
        <v>25</v>
      </c>
      <c r="F244" t="s">
        <v>1237</v>
      </c>
      <c r="G244" t="s">
        <v>18</v>
      </c>
      <c r="H244">
        <v>5</v>
      </c>
      <c r="I244">
        <v>153.55000000000001</v>
      </c>
      <c r="J244">
        <v>0</v>
      </c>
      <c r="K244">
        <v>767.75</v>
      </c>
      <c r="L244">
        <v>188.2</v>
      </c>
      <c r="M244">
        <v>941</v>
      </c>
      <c r="N244">
        <v>17</v>
      </c>
      <c r="O244" t="s">
        <v>19</v>
      </c>
      <c r="P244" t="s">
        <v>46</v>
      </c>
    </row>
    <row r="245" spans="1:16">
      <c r="A245">
        <v>100287</v>
      </c>
      <c r="B245" s="4">
        <v>45332</v>
      </c>
      <c r="C245" t="s">
        <v>903</v>
      </c>
      <c r="D245" t="s">
        <v>39</v>
      </c>
      <c r="E245" t="s">
        <v>25</v>
      </c>
      <c r="F245" t="s">
        <v>1239</v>
      </c>
      <c r="G245" t="s">
        <v>18</v>
      </c>
      <c r="H245">
        <v>1</v>
      </c>
      <c r="I245">
        <v>153.12</v>
      </c>
      <c r="J245">
        <v>0</v>
      </c>
      <c r="K245">
        <v>153.12</v>
      </c>
      <c r="L245">
        <v>49.61</v>
      </c>
      <c r="M245">
        <v>49.61</v>
      </c>
      <c r="N245">
        <v>19</v>
      </c>
      <c r="O245" t="s">
        <v>26</v>
      </c>
      <c r="P245" t="s">
        <v>81</v>
      </c>
    </row>
    <row r="246" spans="1:16">
      <c r="A246">
        <v>100853</v>
      </c>
      <c r="B246" s="4">
        <v>45651</v>
      </c>
      <c r="C246" t="s">
        <v>127</v>
      </c>
      <c r="D246" t="s">
        <v>39</v>
      </c>
      <c r="E246" t="s">
        <v>25</v>
      </c>
      <c r="F246" t="s">
        <v>1237</v>
      </c>
      <c r="G246" t="s">
        <v>31</v>
      </c>
      <c r="H246">
        <v>3</v>
      </c>
      <c r="I246">
        <v>176.67</v>
      </c>
      <c r="J246">
        <v>0</v>
      </c>
      <c r="K246">
        <v>530.01</v>
      </c>
      <c r="L246">
        <v>197.42</v>
      </c>
      <c r="M246">
        <v>592.26</v>
      </c>
      <c r="N246">
        <v>18</v>
      </c>
      <c r="O246" t="s">
        <v>19</v>
      </c>
      <c r="P246" t="s">
        <v>27</v>
      </c>
    </row>
    <row r="247" spans="1:16">
      <c r="A247">
        <v>100489</v>
      </c>
      <c r="B247" s="4">
        <v>45914</v>
      </c>
      <c r="C247" t="s">
        <v>899</v>
      </c>
      <c r="D247" t="s">
        <v>39</v>
      </c>
      <c r="E247" t="s">
        <v>25</v>
      </c>
      <c r="F247" t="s">
        <v>1237</v>
      </c>
      <c r="G247" t="s">
        <v>31</v>
      </c>
      <c r="H247">
        <v>4</v>
      </c>
      <c r="I247">
        <v>148.24</v>
      </c>
      <c r="J247">
        <v>0</v>
      </c>
      <c r="K247">
        <v>592.96</v>
      </c>
      <c r="L247">
        <v>197.2</v>
      </c>
      <c r="M247">
        <v>788.8</v>
      </c>
      <c r="N247">
        <v>20</v>
      </c>
      <c r="O247" t="s">
        <v>19</v>
      </c>
      <c r="P247" t="s">
        <v>27</v>
      </c>
    </row>
    <row r="248" spans="1:16">
      <c r="A248">
        <v>100673</v>
      </c>
      <c r="B248" s="4">
        <v>45709</v>
      </c>
      <c r="C248" t="s">
        <v>299</v>
      </c>
      <c r="D248" t="s">
        <v>70</v>
      </c>
      <c r="E248" t="s">
        <v>25</v>
      </c>
      <c r="F248" t="s">
        <v>1238</v>
      </c>
      <c r="G248" t="s">
        <v>18</v>
      </c>
      <c r="H248">
        <v>2</v>
      </c>
      <c r="I248">
        <v>147.27000000000001</v>
      </c>
      <c r="J248">
        <v>0</v>
      </c>
      <c r="K248">
        <v>294.54000000000002</v>
      </c>
      <c r="L248">
        <v>118.55</v>
      </c>
      <c r="M248">
        <v>237.1</v>
      </c>
      <c r="N248">
        <v>30</v>
      </c>
      <c r="O248" t="s">
        <v>26</v>
      </c>
      <c r="P248" t="s">
        <v>32</v>
      </c>
    </row>
    <row r="249" spans="1:16">
      <c r="A249">
        <v>100784</v>
      </c>
      <c r="B249" s="4">
        <v>45355</v>
      </c>
      <c r="C249" t="s">
        <v>897</v>
      </c>
      <c r="D249" t="s">
        <v>42</v>
      </c>
      <c r="E249" t="s">
        <v>25</v>
      </c>
      <c r="F249" t="s">
        <v>1241</v>
      </c>
      <c r="G249" t="s">
        <v>18</v>
      </c>
      <c r="H249">
        <v>5</v>
      </c>
      <c r="I249">
        <v>176.44</v>
      </c>
      <c r="J249">
        <v>5</v>
      </c>
      <c r="K249">
        <v>838.09</v>
      </c>
      <c r="L249">
        <v>149.75</v>
      </c>
      <c r="M249">
        <v>748.75</v>
      </c>
      <c r="N249">
        <v>35</v>
      </c>
      <c r="O249" t="s">
        <v>26</v>
      </c>
      <c r="P249" t="s">
        <v>46</v>
      </c>
    </row>
    <row r="250" spans="1:16">
      <c r="A250">
        <v>100063</v>
      </c>
      <c r="B250" s="4">
        <v>45504</v>
      </c>
      <c r="C250" t="s">
        <v>301</v>
      </c>
      <c r="D250" t="s">
        <v>73</v>
      </c>
      <c r="E250" t="s">
        <v>25</v>
      </c>
      <c r="F250" t="s">
        <v>1241</v>
      </c>
      <c r="G250" t="s">
        <v>18</v>
      </c>
      <c r="H250">
        <v>2</v>
      </c>
      <c r="I250">
        <v>33.42</v>
      </c>
      <c r="J250">
        <v>5</v>
      </c>
      <c r="K250">
        <v>63.5</v>
      </c>
      <c r="L250">
        <v>19.829999999999998</v>
      </c>
      <c r="M250">
        <v>39.659999999999997</v>
      </c>
      <c r="N250">
        <v>25</v>
      </c>
      <c r="O250" t="s">
        <v>19</v>
      </c>
      <c r="P250" t="s">
        <v>27</v>
      </c>
    </row>
    <row r="251" spans="1:16">
      <c r="A251">
        <v>100810</v>
      </c>
      <c r="B251" s="4">
        <v>45007</v>
      </c>
      <c r="C251" t="s">
        <v>894</v>
      </c>
      <c r="D251" t="s">
        <v>100</v>
      </c>
      <c r="E251" t="s">
        <v>25</v>
      </c>
      <c r="F251" t="s">
        <v>1237</v>
      </c>
      <c r="G251" t="s">
        <v>18</v>
      </c>
      <c r="H251">
        <v>3</v>
      </c>
      <c r="I251">
        <v>140.88999999999999</v>
      </c>
      <c r="J251">
        <v>40</v>
      </c>
      <c r="K251">
        <v>253.6</v>
      </c>
      <c r="L251">
        <v>85.72</v>
      </c>
      <c r="M251">
        <v>257.15999999999997</v>
      </c>
      <c r="N251">
        <v>43</v>
      </c>
      <c r="O251" t="s">
        <v>26</v>
      </c>
      <c r="P251" t="s">
        <v>32</v>
      </c>
    </row>
    <row r="252" spans="1:16">
      <c r="A252">
        <v>100175</v>
      </c>
      <c r="B252" s="4">
        <v>45737</v>
      </c>
      <c r="C252" t="s">
        <v>892</v>
      </c>
      <c r="D252" t="s">
        <v>73</v>
      </c>
      <c r="E252" t="s">
        <v>25</v>
      </c>
      <c r="F252" t="s">
        <v>1238</v>
      </c>
      <c r="G252" t="s">
        <v>18</v>
      </c>
      <c r="H252">
        <v>1</v>
      </c>
      <c r="I252">
        <v>33.53</v>
      </c>
      <c r="J252">
        <v>0</v>
      </c>
      <c r="K252">
        <v>33.53</v>
      </c>
      <c r="L252">
        <v>12.68</v>
      </c>
      <c r="M252">
        <v>12.68</v>
      </c>
      <c r="N252">
        <v>29</v>
      </c>
      <c r="O252" t="s">
        <v>26</v>
      </c>
      <c r="P252" t="s">
        <v>46</v>
      </c>
    </row>
    <row r="253" spans="1:16">
      <c r="A253">
        <v>100376</v>
      </c>
      <c r="B253" s="4">
        <v>45080</v>
      </c>
      <c r="C253" t="s">
        <v>304</v>
      </c>
      <c r="D253" t="s">
        <v>68</v>
      </c>
      <c r="E253" t="s">
        <v>25</v>
      </c>
      <c r="F253" t="s">
        <v>1237</v>
      </c>
      <c r="G253" t="s">
        <v>64</v>
      </c>
      <c r="H253">
        <v>1</v>
      </c>
      <c r="I253">
        <v>186.67</v>
      </c>
      <c r="J253">
        <v>0</v>
      </c>
      <c r="K253">
        <v>186.67</v>
      </c>
      <c r="L253">
        <v>57.99</v>
      </c>
      <c r="M253">
        <v>57.99</v>
      </c>
      <c r="N253">
        <v>41</v>
      </c>
      <c r="O253" t="s">
        <v>26</v>
      </c>
      <c r="P253" t="s">
        <v>27</v>
      </c>
    </row>
    <row r="254" spans="1:16">
      <c r="A254">
        <v>100038</v>
      </c>
      <c r="B254" s="4">
        <v>45812</v>
      </c>
      <c r="C254" t="s">
        <v>891</v>
      </c>
      <c r="D254" t="s">
        <v>42</v>
      </c>
      <c r="E254" t="s">
        <v>25</v>
      </c>
      <c r="F254" t="s">
        <v>1237</v>
      </c>
      <c r="G254" t="s">
        <v>48</v>
      </c>
      <c r="H254">
        <v>5</v>
      </c>
      <c r="I254">
        <v>163.9</v>
      </c>
      <c r="J254">
        <v>0</v>
      </c>
      <c r="K254">
        <v>819.5</v>
      </c>
      <c r="L254">
        <v>256.39</v>
      </c>
      <c r="M254">
        <v>1281.9499999999998</v>
      </c>
      <c r="N254">
        <v>37</v>
      </c>
      <c r="O254" t="s">
        <v>26</v>
      </c>
      <c r="P254" t="s">
        <v>43</v>
      </c>
    </row>
    <row r="255" spans="1:16">
      <c r="A255">
        <v>101070</v>
      </c>
      <c r="B255" s="4">
        <v>45297</v>
      </c>
      <c r="C255" t="s">
        <v>884</v>
      </c>
      <c r="D255" t="s">
        <v>39</v>
      </c>
      <c r="E255" t="s">
        <v>25</v>
      </c>
      <c r="F255" t="s">
        <v>1239</v>
      </c>
      <c r="G255" t="s">
        <v>18</v>
      </c>
      <c r="H255">
        <v>5</v>
      </c>
      <c r="I255">
        <v>185.68</v>
      </c>
      <c r="J255">
        <v>20</v>
      </c>
      <c r="K255">
        <v>742.72</v>
      </c>
      <c r="L255">
        <v>207.01</v>
      </c>
      <c r="M255">
        <v>1035.05</v>
      </c>
      <c r="N255">
        <v>24</v>
      </c>
      <c r="O255" t="s">
        <v>26</v>
      </c>
      <c r="P255" t="s">
        <v>35</v>
      </c>
    </row>
    <row r="256" spans="1:16">
      <c r="A256">
        <v>100019</v>
      </c>
      <c r="B256" s="4">
        <v>44996</v>
      </c>
      <c r="C256" t="s">
        <v>878</v>
      </c>
      <c r="D256" t="s">
        <v>70</v>
      </c>
      <c r="E256" t="s">
        <v>25</v>
      </c>
      <c r="F256" t="s">
        <v>1241</v>
      </c>
      <c r="G256" t="s">
        <v>18</v>
      </c>
      <c r="H256">
        <v>2</v>
      </c>
      <c r="I256">
        <v>154.15</v>
      </c>
      <c r="J256">
        <v>0</v>
      </c>
      <c r="K256">
        <v>308.3</v>
      </c>
      <c r="L256">
        <v>99.47</v>
      </c>
      <c r="M256">
        <v>198.94</v>
      </c>
      <c r="N256">
        <v>28</v>
      </c>
      <c r="O256" t="s">
        <v>19</v>
      </c>
      <c r="P256" t="s">
        <v>51</v>
      </c>
    </row>
    <row r="257" spans="1:16">
      <c r="A257">
        <v>100653</v>
      </c>
      <c r="B257" s="4">
        <v>45620</v>
      </c>
      <c r="C257" t="s">
        <v>873</v>
      </c>
      <c r="D257" t="s">
        <v>42</v>
      </c>
      <c r="E257" t="s">
        <v>25</v>
      </c>
      <c r="F257" t="s">
        <v>1241</v>
      </c>
      <c r="G257" t="s">
        <v>18</v>
      </c>
      <c r="H257">
        <v>3</v>
      </c>
      <c r="I257">
        <v>166.49</v>
      </c>
      <c r="J257">
        <v>5</v>
      </c>
      <c r="K257">
        <v>474.5</v>
      </c>
      <c r="L257">
        <v>134.59</v>
      </c>
      <c r="M257">
        <v>403.77</v>
      </c>
      <c r="N257">
        <v>28</v>
      </c>
      <c r="O257" t="s">
        <v>26</v>
      </c>
      <c r="P257" t="s">
        <v>32</v>
      </c>
    </row>
    <row r="258" spans="1:16">
      <c r="A258">
        <v>100224</v>
      </c>
      <c r="B258" s="4">
        <v>45106</v>
      </c>
      <c r="C258" t="s">
        <v>309</v>
      </c>
      <c r="D258" t="s">
        <v>100</v>
      </c>
      <c r="E258" t="s">
        <v>25</v>
      </c>
      <c r="F258" t="s">
        <v>1239</v>
      </c>
      <c r="G258" t="s">
        <v>48</v>
      </c>
      <c r="H258">
        <v>3</v>
      </c>
      <c r="I258">
        <v>119.72</v>
      </c>
      <c r="J258">
        <v>0</v>
      </c>
      <c r="K258">
        <v>359.16</v>
      </c>
      <c r="L258">
        <v>87.93</v>
      </c>
      <c r="M258">
        <v>263.79000000000002</v>
      </c>
      <c r="N258">
        <v>42</v>
      </c>
      <c r="O258" t="s">
        <v>26</v>
      </c>
      <c r="P258" t="s">
        <v>27</v>
      </c>
    </row>
    <row r="259" spans="1:16">
      <c r="A259">
        <v>100142</v>
      </c>
      <c r="B259" s="4">
        <v>45809</v>
      </c>
      <c r="C259" t="s">
        <v>871</v>
      </c>
      <c r="D259" t="s">
        <v>70</v>
      </c>
      <c r="E259" t="s">
        <v>25</v>
      </c>
      <c r="F259" t="s">
        <v>1238</v>
      </c>
      <c r="G259" t="s">
        <v>18</v>
      </c>
      <c r="H259">
        <v>3</v>
      </c>
      <c r="I259">
        <v>131.71</v>
      </c>
      <c r="J259">
        <v>5</v>
      </c>
      <c r="K259">
        <v>375.37</v>
      </c>
      <c r="L259">
        <v>97.63</v>
      </c>
      <c r="M259">
        <v>292.89</v>
      </c>
      <c r="N259">
        <v>22</v>
      </c>
      <c r="O259" t="s">
        <v>26</v>
      </c>
      <c r="P259" t="s">
        <v>32</v>
      </c>
    </row>
    <row r="260" spans="1:16">
      <c r="A260">
        <v>100353</v>
      </c>
      <c r="B260" s="4">
        <v>45019</v>
      </c>
      <c r="C260" t="s">
        <v>869</v>
      </c>
      <c r="D260" t="s">
        <v>70</v>
      </c>
      <c r="E260" t="s">
        <v>25</v>
      </c>
      <c r="F260" t="s">
        <v>1241</v>
      </c>
      <c r="G260" t="s">
        <v>31</v>
      </c>
      <c r="H260">
        <v>3</v>
      </c>
      <c r="I260">
        <v>148.06</v>
      </c>
      <c r="J260">
        <v>20</v>
      </c>
      <c r="K260">
        <v>355.34</v>
      </c>
      <c r="L260">
        <v>76.69</v>
      </c>
      <c r="M260">
        <v>230.07</v>
      </c>
      <c r="N260">
        <v>23</v>
      </c>
      <c r="O260" t="s">
        <v>26</v>
      </c>
      <c r="P260" t="s">
        <v>51</v>
      </c>
    </row>
    <row r="261" spans="1:16">
      <c r="A261">
        <v>101169</v>
      </c>
      <c r="B261" s="4">
        <v>45919</v>
      </c>
      <c r="C261" t="s">
        <v>312</v>
      </c>
      <c r="D261" t="s">
        <v>39</v>
      </c>
      <c r="E261" t="s">
        <v>25</v>
      </c>
      <c r="F261" t="s">
        <v>1237</v>
      </c>
      <c r="G261" t="s">
        <v>31</v>
      </c>
      <c r="H261">
        <v>4</v>
      </c>
      <c r="I261">
        <v>198.5</v>
      </c>
      <c r="J261">
        <v>5</v>
      </c>
      <c r="K261">
        <v>754.3</v>
      </c>
      <c r="L261">
        <v>256.14999999999998</v>
      </c>
      <c r="M261">
        <v>1024.5999999999999</v>
      </c>
      <c r="N261">
        <v>21</v>
      </c>
      <c r="O261" t="s">
        <v>26</v>
      </c>
      <c r="P261" t="s">
        <v>20</v>
      </c>
    </row>
    <row r="262" spans="1:16">
      <c r="A262">
        <v>100486</v>
      </c>
      <c r="B262" s="4">
        <v>45700</v>
      </c>
      <c r="C262" t="s">
        <v>313</v>
      </c>
      <c r="D262" t="s">
        <v>73</v>
      </c>
      <c r="E262" t="s">
        <v>25</v>
      </c>
      <c r="F262" t="s">
        <v>1237</v>
      </c>
      <c r="G262" t="s">
        <v>31</v>
      </c>
      <c r="H262">
        <v>1</v>
      </c>
      <c r="I262">
        <v>36.39</v>
      </c>
      <c r="J262">
        <v>5</v>
      </c>
      <c r="K262">
        <v>34.57</v>
      </c>
      <c r="L262">
        <v>10.45</v>
      </c>
      <c r="M262">
        <v>10.45</v>
      </c>
      <c r="N262">
        <v>25</v>
      </c>
      <c r="O262" t="s">
        <v>26</v>
      </c>
      <c r="P262" t="s">
        <v>46</v>
      </c>
    </row>
    <row r="263" spans="1:16">
      <c r="A263">
        <v>100352</v>
      </c>
      <c r="B263" s="4">
        <v>45503</v>
      </c>
      <c r="C263" t="s">
        <v>314</v>
      </c>
      <c r="D263" t="s">
        <v>73</v>
      </c>
      <c r="E263" t="s">
        <v>25</v>
      </c>
      <c r="F263" t="s">
        <v>1237</v>
      </c>
      <c r="G263" t="s">
        <v>64</v>
      </c>
      <c r="H263">
        <v>3</v>
      </c>
      <c r="I263">
        <v>31.9</v>
      </c>
      <c r="J263">
        <v>0</v>
      </c>
      <c r="K263">
        <v>95.7</v>
      </c>
      <c r="L263">
        <v>27.68</v>
      </c>
      <c r="M263">
        <v>83.039999999999992</v>
      </c>
      <c r="N263">
        <v>30</v>
      </c>
      <c r="O263" t="s">
        <v>26</v>
      </c>
      <c r="P263" t="s">
        <v>35</v>
      </c>
    </row>
    <row r="264" spans="1:16">
      <c r="A264">
        <v>100799</v>
      </c>
      <c r="B264" s="4">
        <v>45143</v>
      </c>
      <c r="C264" t="s">
        <v>868</v>
      </c>
      <c r="D264" t="s">
        <v>70</v>
      </c>
      <c r="E264" t="s">
        <v>25</v>
      </c>
      <c r="F264" t="s">
        <v>1241</v>
      </c>
      <c r="G264" t="s">
        <v>31</v>
      </c>
      <c r="H264">
        <v>3</v>
      </c>
      <c r="I264">
        <v>142.84</v>
      </c>
      <c r="J264">
        <v>0</v>
      </c>
      <c r="K264">
        <v>428.52</v>
      </c>
      <c r="L264">
        <v>125.72</v>
      </c>
      <c r="M264">
        <v>377.15999999999997</v>
      </c>
      <c r="N264">
        <v>25</v>
      </c>
      <c r="O264" t="s">
        <v>19</v>
      </c>
      <c r="P264" t="s">
        <v>32</v>
      </c>
    </row>
    <row r="265" spans="1:16">
      <c r="A265">
        <v>100617</v>
      </c>
      <c r="B265" s="4">
        <v>45132</v>
      </c>
      <c r="C265" t="s">
        <v>316</v>
      </c>
      <c r="D265" t="s">
        <v>73</v>
      </c>
      <c r="E265" t="s">
        <v>25</v>
      </c>
      <c r="F265" t="s">
        <v>1238</v>
      </c>
      <c r="G265" t="s">
        <v>31</v>
      </c>
      <c r="H265">
        <v>4</v>
      </c>
      <c r="I265">
        <v>30.43</v>
      </c>
      <c r="J265">
        <v>5</v>
      </c>
      <c r="K265">
        <v>115.63</v>
      </c>
      <c r="L265">
        <v>29.39</v>
      </c>
      <c r="M265">
        <v>117.56</v>
      </c>
      <c r="N265">
        <v>32</v>
      </c>
      <c r="O265" t="s">
        <v>19</v>
      </c>
      <c r="P265" t="s">
        <v>20</v>
      </c>
    </row>
    <row r="266" spans="1:16">
      <c r="A266">
        <v>100664</v>
      </c>
      <c r="B266" s="4">
        <v>45574</v>
      </c>
      <c r="C266" t="s">
        <v>865</v>
      </c>
      <c r="D266" t="s">
        <v>24</v>
      </c>
      <c r="E266" t="s">
        <v>25</v>
      </c>
      <c r="F266" t="s">
        <v>1239</v>
      </c>
      <c r="G266" t="s">
        <v>18</v>
      </c>
      <c r="H266">
        <v>1</v>
      </c>
      <c r="I266">
        <v>102.55</v>
      </c>
      <c r="J266">
        <v>5</v>
      </c>
      <c r="K266">
        <v>97.42</v>
      </c>
      <c r="L266">
        <v>24.8</v>
      </c>
      <c r="M266">
        <v>24.8</v>
      </c>
      <c r="N266">
        <v>35</v>
      </c>
      <c r="O266" t="s">
        <v>19</v>
      </c>
      <c r="P266" t="s">
        <v>20</v>
      </c>
    </row>
    <row r="267" spans="1:16">
      <c r="A267">
        <v>100774</v>
      </c>
      <c r="B267" s="4">
        <v>45207</v>
      </c>
      <c r="C267" t="s">
        <v>318</v>
      </c>
      <c r="D267" t="s">
        <v>24</v>
      </c>
      <c r="E267" t="s">
        <v>25</v>
      </c>
      <c r="F267" t="s">
        <v>1240</v>
      </c>
      <c r="G267" t="s">
        <v>31</v>
      </c>
      <c r="H267">
        <v>6</v>
      </c>
      <c r="I267">
        <v>95.51</v>
      </c>
      <c r="J267">
        <v>0</v>
      </c>
      <c r="K267">
        <v>573.05999999999995</v>
      </c>
      <c r="L267">
        <v>94.18</v>
      </c>
      <c r="M267">
        <v>565.08000000000004</v>
      </c>
      <c r="N267">
        <v>16</v>
      </c>
      <c r="O267" t="s">
        <v>26</v>
      </c>
      <c r="P267" t="s">
        <v>43</v>
      </c>
    </row>
    <row r="268" spans="1:16">
      <c r="A268">
        <v>100574</v>
      </c>
      <c r="B268" s="4">
        <v>45329</v>
      </c>
      <c r="C268" t="s">
        <v>863</v>
      </c>
      <c r="D268" t="s">
        <v>42</v>
      </c>
      <c r="E268" t="s">
        <v>25</v>
      </c>
      <c r="F268" t="s">
        <v>1237</v>
      </c>
      <c r="G268" t="s">
        <v>18</v>
      </c>
      <c r="H268">
        <v>2</v>
      </c>
      <c r="I268">
        <v>169.92</v>
      </c>
      <c r="J268">
        <v>10</v>
      </c>
      <c r="K268">
        <v>305.86</v>
      </c>
      <c r="L268">
        <v>100.22</v>
      </c>
      <c r="M268">
        <v>200.44</v>
      </c>
      <c r="N268">
        <v>39</v>
      </c>
      <c r="O268" t="s">
        <v>26</v>
      </c>
      <c r="P268" t="s">
        <v>20</v>
      </c>
    </row>
    <row r="269" spans="1:16">
      <c r="A269">
        <v>101062</v>
      </c>
      <c r="B269" s="4">
        <v>45100</v>
      </c>
      <c r="C269" t="s">
        <v>862</v>
      </c>
      <c r="D269" t="s">
        <v>87</v>
      </c>
      <c r="E269" t="s">
        <v>25</v>
      </c>
      <c r="F269" t="s">
        <v>1240</v>
      </c>
      <c r="G269" t="s">
        <v>18</v>
      </c>
      <c r="H269">
        <v>5</v>
      </c>
      <c r="I269">
        <v>77.63</v>
      </c>
      <c r="J269">
        <v>20</v>
      </c>
      <c r="K269">
        <v>310.52</v>
      </c>
      <c r="L269">
        <v>95.06</v>
      </c>
      <c r="M269">
        <v>475.3</v>
      </c>
      <c r="N269">
        <v>21</v>
      </c>
      <c r="O269" t="s">
        <v>26</v>
      </c>
      <c r="P269" t="s">
        <v>43</v>
      </c>
    </row>
    <row r="270" spans="1:16">
      <c r="A270">
        <v>100691</v>
      </c>
      <c r="B270" s="4">
        <v>45173</v>
      </c>
      <c r="C270" t="s">
        <v>855</v>
      </c>
      <c r="D270" t="s">
        <v>24</v>
      </c>
      <c r="E270" t="s">
        <v>25</v>
      </c>
      <c r="F270" t="s">
        <v>1241</v>
      </c>
      <c r="G270" t="s">
        <v>31</v>
      </c>
      <c r="H270">
        <v>2</v>
      </c>
      <c r="I270">
        <v>105.28</v>
      </c>
      <c r="J270">
        <v>0</v>
      </c>
      <c r="K270">
        <v>210.56</v>
      </c>
      <c r="L270">
        <v>67.63</v>
      </c>
      <c r="M270">
        <v>135.26</v>
      </c>
      <c r="N270">
        <v>30</v>
      </c>
      <c r="O270" t="s">
        <v>19</v>
      </c>
      <c r="P270" t="s">
        <v>35</v>
      </c>
    </row>
    <row r="271" spans="1:16">
      <c r="A271">
        <v>100846</v>
      </c>
      <c r="B271" s="4">
        <v>45638</v>
      </c>
      <c r="C271" t="s">
        <v>854</v>
      </c>
      <c r="D271" t="s">
        <v>73</v>
      </c>
      <c r="E271" t="s">
        <v>25</v>
      </c>
      <c r="F271" t="s">
        <v>1241</v>
      </c>
      <c r="G271" t="s">
        <v>18</v>
      </c>
      <c r="H271">
        <v>2</v>
      </c>
      <c r="I271">
        <v>32.4</v>
      </c>
      <c r="J271">
        <v>5</v>
      </c>
      <c r="K271">
        <v>61.56</v>
      </c>
      <c r="L271">
        <v>16.649999999999999</v>
      </c>
      <c r="M271">
        <v>33.299999999999997</v>
      </c>
      <c r="N271">
        <v>40</v>
      </c>
      <c r="O271" t="s">
        <v>19</v>
      </c>
      <c r="P271" t="s">
        <v>27</v>
      </c>
    </row>
    <row r="272" spans="1:16">
      <c r="A272">
        <v>100971</v>
      </c>
      <c r="B272" s="4">
        <v>44953</v>
      </c>
      <c r="C272" t="s">
        <v>852</v>
      </c>
      <c r="D272" t="s">
        <v>100</v>
      </c>
      <c r="E272" t="s">
        <v>25</v>
      </c>
      <c r="F272" t="s">
        <v>1238</v>
      </c>
      <c r="G272" t="s">
        <v>64</v>
      </c>
      <c r="H272">
        <v>3</v>
      </c>
      <c r="I272">
        <v>125.36</v>
      </c>
      <c r="J272">
        <v>10</v>
      </c>
      <c r="K272">
        <v>338.47</v>
      </c>
      <c r="L272">
        <v>118.32</v>
      </c>
      <c r="M272">
        <v>354.96</v>
      </c>
      <c r="N272">
        <v>31</v>
      </c>
      <c r="O272" t="s">
        <v>19</v>
      </c>
      <c r="P272" t="s">
        <v>51</v>
      </c>
    </row>
    <row r="273" spans="1:16">
      <c r="A273">
        <v>100443</v>
      </c>
      <c r="B273" s="4">
        <v>45313</v>
      </c>
      <c r="C273" t="s">
        <v>851</v>
      </c>
      <c r="D273" t="s">
        <v>70</v>
      </c>
      <c r="E273" t="s">
        <v>25</v>
      </c>
      <c r="F273" t="s">
        <v>1237</v>
      </c>
      <c r="G273" t="s">
        <v>18</v>
      </c>
      <c r="H273">
        <v>3</v>
      </c>
      <c r="I273">
        <v>131.82</v>
      </c>
      <c r="J273">
        <v>5</v>
      </c>
      <c r="K273">
        <v>375.69</v>
      </c>
      <c r="L273">
        <v>102.64</v>
      </c>
      <c r="M273">
        <v>307.92</v>
      </c>
      <c r="N273">
        <v>16</v>
      </c>
      <c r="O273" t="s">
        <v>19</v>
      </c>
      <c r="P273" t="s">
        <v>20</v>
      </c>
    </row>
    <row r="274" spans="1:16">
      <c r="A274">
        <v>100634</v>
      </c>
      <c r="B274" s="4">
        <v>45813</v>
      </c>
      <c r="C274" t="s">
        <v>325</v>
      </c>
      <c r="D274" t="s">
        <v>39</v>
      </c>
      <c r="E274" t="s">
        <v>25</v>
      </c>
      <c r="F274" t="s">
        <v>1237</v>
      </c>
      <c r="G274" t="s">
        <v>18</v>
      </c>
      <c r="H274">
        <v>1</v>
      </c>
      <c r="I274">
        <v>208.4</v>
      </c>
      <c r="J274">
        <v>20</v>
      </c>
      <c r="K274">
        <v>166.72</v>
      </c>
      <c r="L274">
        <v>38.46</v>
      </c>
      <c r="M274">
        <v>38.46</v>
      </c>
      <c r="N274">
        <v>39</v>
      </c>
      <c r="O274" t="s">
        <v>26</v>
      </c>
      <c r="P274" t="s">
        <v>32</v>
      </c>
    </row>
    <row r="275" spans="1:16">
      <c r="A275">
        <v>101092</v>
      </c>
      <c r="B275" s="4">
        <v>45889</v>
      </c>
      <c r="C275" t="s">
        <v>850</v>
      </c>
      <c r="D275" t="s">
        <v>87</v>
      </c>
      <c r="E275" t="s">
        <v>25</v>
      </c>
      <c r="F275" t="s">
        <v>1238</v>
      </c>
      <c r="G275" t="s">
        <v>18</v>
      </c>
      <c r="H275">
        <v>1</v>
      </c>
      <c r="I275">
        <v>73</v>
      </c>
      <c r="J275">
        <v>0</v>
      </c>
      <c r="K275">
        <v>73</v>
      </c>
      <c r="L275">
        <v>22.96</v>
      </c>
      <c r="M275">
        <v>22.96</v>
      </c>
      <c r="N275">
        <v>21</v>
      </c>
      <c r="O275" t="s">
        <v>26</v>
      </c>
      <c r="P275" t="s">
        <v>32</v>
      </c>
    </row>
    <row r="276" spans="1:16">
      <c r="A276">
        <v>100004</v>
      </c>
      <c r="B276" s="4">
        <v>45476</v>
      </c>
      <c r="C276" t="s">
        <v>845</v>
      </c>
      <c r="D276" t="s">
        <v>87</v>
      </c>
      <c r="E276" t="s">
        <v>25</v>
      </c>
      <c r="F276" t="s">
        <v>1238</v>
      </c>
      <c r="G276" t="s">
        <v>31</v>
      </c>
      <c r="H276">
        <v>2</v>
      </c>
      <c r="I276">
        <v>85.46</v>
      </c>
      <c r="J276">
        <v>0</v>
      </c>
      <c r="K276">
        <v>170.92</v>
      </c>
      <c r="L276">
        <v>39.1</v>
      </c>
      <c r="M276">
        <v>78.2</v>
      </c>
      <c r="N276">
        <v>20</v>
      </c>
      <c r="O276" t="s">
        <v>19</v>
      </c>
      <c r="P276" t="s">
        <v>43</v>
      </c>
    </row>
    <row r="277" spans="1:16">
      <c r="A277">
        <v>100039</v>
      </c>
      <c r="B277" s="4">
        <v>45200</v>
      </c>
      <c r="C277" t="s">
        <v>328</v>
      </c>
      <c r="D277" t="s">
        <v>42</v>
      </c>
      <c r="E277" t="s">
        <v>25</v>
      </c>
      <c r="F277" t="s">
        <v>1241</v>
      </c>
      <c r="G277" t="s">
        <v>48</v>
      </c>
      <c r="H277">
        <v>3</v>
      </c>
      <c r="I277">
        <v>168.34</v>
      </c>
      <c r="J277">
        <v>0</v>
      </c>
      <c r="K277">
        <v>505.02</v>
      </c>
      <c r="L277">
        <v>155.66999999999999</v>
      </c>
      <c r="M277">
        <v>467.01</v>
      </c>
      <c r="N277">
        <v>23</v>
      </c>
      <c r="O277" t="s">
        <v>19</v>
      </c>
      <c r="P277" t="s">
        <v>51</v>
      </c>
    </row>
    <row r="278" spans="1:16">
      <c r="A278">
        <v>100030</v>
      </c>
      <c r="B278" s="4">
        <v>45332</v>
      </c>
      <c r="C278" t="s">
        <v>329</v>
      </c>
      <c r="D278" t="s">
        <v>68</v>
      </c>
      <c r="E278" t="s">
        <v>25</v>
      </c>
      <c r="F278" t="s">
        <v>1241</v>
      </c>
      <c r="G278" t="s">
        <v>18</v>
      </c>
      <c r="H278">
        <v>3</v>
      </c>
      <c r="I278">
        <v>252.84</v>
      </c>
      <c r="J278">
        <v>0</v>
      </c>
      <c r="K278">
        <v>758.52</v>
      </c>
      <c r="L278">
        <v>245.53</v>
      </c>
      <c r="M278">
        <v>736.59</v>
      </c>
      <c r="N278">
        <v>23</v>
      </c>
      <c r="O278" t="s">
        <v>19</v>
      </c>
      <c r="P278" t="s">
        <v>27</v>
      </c>
    </row>
    <row r="279" spans="1:16">
      <c r="A279">
        <v>100242</v>
      </c>
      <c r="B279" s="4">
        <v>45208</v>
      </c>
      <c r="C279" t="s">
        <v>330</v>
      </c>
      <c r="D279" t="s">
        <v>70</v>
      </c>
      <c r="E279" t="s">
        <v>25</v>
      </c>
      <c r="F279" t="s">
        <v>1237</v>
      </c>
      <c r="G279" t="s">
        <v>31</v>
      </c>
      <c r="H279">
        <v>3</v>
      </c>
      <c r="I279">
        <v>164.56</v>
      </c>
      <c r="J279">
        <v>0</v>
      </c>
      <c r="K279">
        <v>493.68</v>
      </c>
      <c r="L279">
        <v>151.6</v>
      </c>
      <c r="M279">
        <v>454.79999999999995</v>
      </c>
      <c r="N279">
        <v>25</v>
      </c>
      <c r="O279" t="s">
        <v>26</v>
      </c>
      <c r="P279" t="s">
        <v>32</v>
      </c>
    </row>
    <row r="280" spans="1:16">
      <c r="A280">
        <v>100428</v>
      </c>
      <c r="B280" s="4">
        <v>45645</v>
      </c>
      <c r="C280" t="s">
        <v>331</v>
      </c>
      <c r="D280" t="s">
        <v>87</v>
      </c>
      <c r="E280" t="s">
        <v>25</v>
      </c>
      <c r="F280" t="s">
        <v>1241</v>
      </c>
      <c r="G280" t="s">
        <v>18</v>
      </c>
      <c r="H280">
        <v>3</v>
      </c>
      <c r="I280">
        <v>80.41</v>
      </c>
      <c r="J280">
        <v>10</v>
      </c>
      <c r="K280">
        <v>217.11</v>
      </c>
      <c r="L280">
        <v>65.5</v>
      </c>
      <c r="M280">
        <v>196.5</v>
      </c>
      <c r="N280">
        <v>21</v>
      </c>
      <c r="O280" t="s">
        <v>19</v>
      </c>
      <c r="P280" t="s">
        <v>32</v>
      </c>
    </row>
    <row r="281" spans="1:16">
      <c r="A281">
        <v>100136</v>
      </c>
      <c r="B281" s="4">
        <v>45072</v>
      </c>
      <c r="C281" t="s">
        <v>332</v>
      </c>
      <c r="D281" t="s">
        <v>39</v>
      </c>
      <c r="E281" t="s">
        <v>25</v>
      </c>
      <c r="F281" t="s">
        <v>1238</v>
      </c>
      <c r="G281" t="s">
        <v>18</v>
      </c>
      <c r="H281">
        <v>2</v>
      </c>
      <c r="I281">
        <v>181.64</v>
      </c>
      <c r="J281">
        <v>10</v>
      </c>
      <c r="K281">
        <v>326.95</v>
      </c>
      <c r="L281">
        <v>100.54</v>
      </c>
      <c r="M281">
        <v>201.08</v>
      </c>
      <c r="N281">
        <v>32</v>
      </c>
      <c r="O281" t="s">
        <v>26</v>
      </c>
      <c r="P281" t="s">
        <v>35</v>
      </c>
    </row>
    <row r="282" spans="1:16">
      <c r="A282">
        <v>101100</v>
      </c>
      <c r="B282" s="4">
        <v>45185</v>
      </c>
      <c r="C282" t="s">
        <v>147</v>
      </c>
      <c r="D282" t="s">
        <v>42</v>
      </c>
      <c r="E282" t="s">
        <v>25</v>
      </c>
      <c r="F282" t="s">
        <v>1241</v>
      </c>
      <c r="G282" t="s">
        <v>18</v>
      </c>
      <c r="H282">
        <v>1</v>
      </c>
      <c r="I282">
        <v>150.4</v>
      </c>
      <c r="J282">
        <v>10</v>
      </c>
      <c r="K282">
        <v>135.36000000000001</v>
      </c>
      <c r="L282">
        <v>34.33</v>
      </c>
      <c r="M282">
        <v>34.33</v>
      </c>
      <c r="N282">
        <v>24</v>
      </c>
      <c r="O282" t="s">
        <v>26</v>
      </c>
      <c r="P282" t="s">
        <v>46</v>
      </c>
    </row>
    <row r="283" spans="1:16">
      <c r="A283">
        <v>100102</v>
      </c>
      <c r="B283" s="4">
        <v>45705</v>
      </c>
      <c r="C283" t="s">
        <v>844</v>
      </c>
      <c r="D283" t="s">
        <v>87</v>
      </c>
      <c r="E283" t="s">
        <v>25</v>
      </c>
      <c r="F283" t="s">
        <v>1237</v>
      </c>
      <c r="G283" t="s">
        <v>48</v>
      </c>
      <c r="H283">
        <v>2</v>
      </c>
      <c r="I283">
        <v>79.81</v>
      </c>
      <c r="J283">
        <v>5</v>
      </c>
      <c r="K283">
        <v>151.63999999999999</v>
      </c>
      <c r="L283">
        <v>31.81</v>
      </c>
      <c r="M283">
        <v>63.62</v>
      </c>
      <c r="N283">
        <v>32</v>
      </c>
      <c r="O283" t="s">
        <v>26</v>
      </c>
      <c r="P283" t="s">
        <v>81</v>
      </c>
    </row>
    <row r="284" spans="1:16">
      <c r="A284">
        <v>100655</v>
      </c>
      <c r="B284" s="4">
        <v>45900</v>
      </c>
      <c r="C284" t="s">
        <v>839</v>
      </c>
      <c r="D284" t="s">
        <v>100</v>
      </c>
      <c r="E284" t="s">
        <v>25</v>
      </c>
      <c r="F284" t="s">
        <v>1237</v>
      </c>
      <c r="G284" t="s">
        <v>18</v>
      </c>
      <c r="H284">
        <v>6</v>
      </c>
      <c r="I284">
        <v>116.35</v>
      </c>
      <c r="J284">
        <v>0</v>
      </c>
      <c r="K284">
        <v>698.1</v>
      </c>
      <c r="L284">
        <v>156.12</v>
      </c>
      <c r="M284">
        <v>936.72</v>
      </c>
      <c r="N284">
        <v>16</v>
      </c>
      <c r="O284" t="s">
        <v>19</v>
      </c>
      <c r="P284" t="s">
        <v>35</v>
      </c>
    </row>
    <row r="285" spans="1:16">
      <c r="A285">
        <v>100832</v>
      </c>
      <c r="B285" s="4">
        <v>45076</v>
      </c>
      <c r="C285" t="s">
        <v>335</v>
      </c>
      <c r="D285" t="s">
        <v>39</v>
      </c>
      <c r="E285" t="s">
        <v>25</v>
      </c>
      <c r="F285" t="s">
        <v>1238</v>
      </c>
      <c r="G285" t="s">
        <v>18</v>
      </c>
      <c r="H285">
        <v>3</v>
      </c>
      <c r="I285">
        <v>176.94</v>
      </c>
      <c r="J285">
        <v>0</v>
      </c>
      <c r="K285">
        <v>530.82000000000005</v>
      </c>
      <c r="L285">
        <v>190.54</v>
      </c>
      <c r="M285">
        <v>571.62</v>
      </c>
      <c r="N285">
        <v>33</v>
      </c>
      <c r="O285" t="s">
        <v>26</v>
      </c>
      <c r="P285" t="s">
        <v>32</v>
      </c>
    </row>
    <row r="286" spans="1:16">
      <c r="A286">
        <v>100105</v>
      </c>
      <c r="B286" s="4">
        <v>45188</v>
      </c>
      <c r="C286" t="s">
        <v>835</v>
      </c>
      <c r="D286" t="s">
        <v>39</v>
      </c>
      <c r="E286" t="s">
        <v>25</v>
      </c>
      <c r="F286" t="s">
        <v>1238</v>
      </c>
      <c r="G286" t="s">
        <v>18</v>
      </c>
      <c r="H286">
        <v>3</v>
      </c>
      <c r="I286">
        <v>171.69</v>
      </c>
      <c r="J286">
        <v>0</v>
      </c>
      <c r="K286">
        <v>515.07000000000005</v>
      </c>
      <c r="L286">
        <v>135.88999999999999</v>
      </c>
      <c r="M286">
        <v>407.66999999999996</v>
      </c>
      <c r="N286">
        <v>49</v>
      </c>
      <c r="O286" t="s">
        <v>26</v>
      </c>
      <c r="P286" t="s">
        <v>27</v>
      </c>
    </row>
    <row r="287" spans="1:16">
      <c r="A287">
        <v>100921</v>
      </c>
      <c r="B287" s="4">
        <v>45325</v>
      </c>
      <c r="C287" t="s">
        <v>834</v>
      </c>
      <c r="D287" t="s">
        <v>73</v>
      </c>
      <c r="E287" t="s">
        <v>25</v>
      </c>
      <c r="F287" t="s">
        <v>1241</v>
      </c>
      <c r="G287" t="s">
        <v>18</v>
      </c>
      <c r="H287">
        <v>3</v>
      </c>
      <c r="I287">
        <v>29.79</v>
      </c>
      <c r="J287">
        <v>10</v>
      </c>
      <c r="K287">
        <v>80.430000000000007</v>
      </c>
      <c r="L287">
        <v>28.4</v>
      </c>
      <c r="M287">
        <v>85.199999999999989</v>
      </c>
      <c r="N287">
        <v>26</v>
      </c>
      <c r="O287" t="s">
        <v>19</v>
      </c>
      <c r="P287" t="s">
        <v>46</v>
      </c>
    </row>
    <row r="288" spans="1:16">
      <c r="A288">
        <v>100902</v>
      </c>
      <c r="B288" s="4">
        <v>45820</v>
      </c>
      <c r="C288" t="s">
        <v>833</v>
      </c>
      <c r="D288" t="s">
        <v>68</v>
      </c>
      <c r="E288" t="s">
        <v>25</v>
      </c>
      <c r="F288" t="s">
        <v>1240</v>
      </c>
      <c r="G288" t="s">
        <v>48</v>
      </c>
      <c r="H288">
        <v>3</v>
      </c>
      <c r="I288">
        <v>221.49</v>
      </c>
      <c r="J288">
        <v>0</v>
      </c>
      <c r="K288">
        <v>664.47</v>
      </c>
      <c r="L288">
        <v>225.85</v>
      </c>
      <c r="M288">
        <v>677.55</v>
      </c>
      <c r="N288">
        <v>26</v>
      </c>
      <c r="O288" t="s">
        <v>26</v>
      </c>
      <c r="P288" t="s">
        <v>27</v>
      </c>
    </row>
    <row r="289" spans="1:16">
      <c r="A289">
        <v>100843</v>
      </c>
      <c r="B289" s="4">
        <v>45010</v>
      </c>
      <c r="C289" t="s">
        <v>339</v>
      </c>
      <c r="D289" t="s">
        <v>24</v>
      </c>
      <c r="E289" t="s">
        <v>25</v>
      </c>
      <c r="F289" t="s">
        <v>1239</v>
      </c>
      <c r="G289" t="s">
        <v>31</v>
      </c>
      <c r="H289">
        <v>2</v>
      </c>
      <c r="I289">
        <v>94.66</v>
      </c>
      <c r="J289">
        <v>10</v>
      </c>
      <c r="K289">
        <v>170.39</v>
      </c>
      <c r="L289">
        <v>58.52</v>
      </c>
      <c r="M289">
        <v>117.04</v>
      </c>
      <c r="N289">
        <v>16</v>
      </c>
      <c r="O289" t="s">
        <v>26</v>
      </c>
      <c r="P289" t="s">
        <v>43</v>
      </c>
    </row>
    <row r="290" spans="1:16">
      <c r="A290">
        <v>100656</v>
      </c>
      <c r="B290" s="4">
        <v>45844</v>
      </c>
      <c r="C290" t="s">
        <v>832</v>
      </c>
      <c r="D290" t="s">
        <v>87</v>
      </c>
      <c r="E290" t="s">
        <v>25</v>
      </c>
      <c r="F290" t="s">
        <v>1241</v>
      </c>
      <c r="G290" t="s">
        <v>31</v>
      </c>
      <c r="H290">
        <v>5</v>
      </c>
      <c r="I290">
        <v>80.94</v>
      </c>
      <c r="J290">
        <v>0</v>
      </c>
      <c r="K290">
        <v>404.7</v>
      </c>
      <c r="L290">
        <v>143.22</v>
      </c>
      <c r="M290">
        <v>716.1</v>
      </c>
      <c r="N290">
        <v>23</v>
      </c>
      <c r="O290" t="s">
        <v>19</v>
      </c>
      <c r="P290" t="s">
        <v>46</v>
      </c>
    </row>
    <row r="291" spans="1:16">
      <c r="A291">
        <v>100970</v>
      </c>
      <c r="B291" s="4">
        <v>45314</v>
      </c>
      <c r="C291" t="s">
        <v>831</v>
      </c>
      <c r="D291" t="s">
        <v>100</v>
      </c>
      <c r="E291" t="s">
        <v>25</v>
      </c>
      <c r="F291" t="s">
        <v>1238</v>
      </c>
      <c r="G291" t="s">
        <v>18</v>
      </c>
      <c r="H291">
        <v>2</v>
      </c>
      <c r="I291">
        <v>116.46</v>
      </c>
      <c r="J291">
        <v>10</v>
      </c>
      <c r="K291">
        <v>209.63</v>
      </c>
      <c r="L291">
        <v>43.47</v>
      </c>
      <c r="M291">
        <v>86.94</v>
      </c>
      <c r="N291">
        <v>31</v>
      </c>
      <c r="O291" t="s">
        <v>26</v>
      </c>
      <c r="P291" t="s">
        <v>46</v>
      </c>
    </row>
    <row r="292" spans="1:16">
      <c r="A292">
        <v>100442</v>
      </c>
      <c r="B292" s="4">
        <v>45721</v>
      </c>
      <c r="C292" t="s">
        <v>342</v>
      </c>
      <c r="D292" t="s">
        <v>73</v>
      </c>
      <c r="E292" t="s">
        <v>25</v>
      </c>
      <c r="F292" t="s">
        <v>1241</v>
      </c>
      <c r="G292" t="s">
        <v>31</v>
      </c>
      <c r="H292">
        <v>2</v>
      </c>
      <c r="I292">
        <v>35.200000000000003</v>
      </c>
      <c r="J292">
        <v>5</v>
      </c>
      <c r="K292">
        <v>66.88</v>
      </c>
      <c r="L292">
        <v>17.920000000000002</v>
      </c>
      <c r="M292">
        <v>35.840000000000003</v>
      </c>
      <c r="N292">
        <v>39</v>
      </c>
      <c r="O292" t="s">
        <v>26</v>
      </c>
      <c r="P292" t="s">
        <v>35</v>
      </c>
    </row>
    <row r="293" spans="1:16">
      <c r="A293">
        <v>100603</v>
      </c>
      <c r="B293" s="4">
        <v>45431</v>
      </c>
      <c r="C293" t="s">
        <v>829</v>
      </c>
      <c r="D293" t="s">
        <v>42</v>
      </c>
      <c r="E293" t="s">
        <v>25</v>
      </c>
      <c r="F293" t="s">
        <v>1241</v>
      </c>
      <c r="G293" t="s">
        <v>18</v>
      </c>
      <c r="H293">
        <v>3</v>
      </c>
      <c r="I293">
        <v>169.7</v>
      </c>
      <c r="J293">
        <v>0</v>
      </c>
      <c r="K293">
        <v>509.1</v>
      </c>
      <c r="L293">
        <v>180.04</v>
      </c>
      <c r="M293">
        <v>540.12</v>
      </c>
      <c r="N293">
        <v>32</v>
      </c>
      <c r="O293" t="s">
        <v>26</v>
      </c>
      <c r="P293" t="s">
        <v>27</v>
      </c>
    </row>
    <row r="294" spans="1:16">
      <c r="A294">
        <v>100435</v>
      </c>
      <c r="B294" s="4">
        <v>45141</v>
      </c>
      <c r="C294" t="s">
        <v>344</v>
      </c>
      <c r="D294" t="s">
        <v>100</v>
      </c>
      <c r="E294" t="s">
        <v>25</v>
      </c>
      <c r="F294" t="s">
        <v>1237</v>
      </c>
      <c r="G294" t="s">
        <v>64</v>
      </c>
      <c r="H294">
        <v>6</v>
      </c>
      <c r="I294">
        <v>162.34</v>
      </c>
      <c r="J294">
        <v>0</v>
      </c>
      <c r="K294">
        <v>974.04</v>
      </c>
      <c r="L294">
        <v>303.42</v>
      </c>
      <c r="M294">
        <v>1820.52</v>
      </c>
      <c r="N294">
        <v>33</v>
      </c>
      <c r="O294" t="s">
        <v>26</v>
      </c>
      <c r="P294" t="s">
        <v>35</v>
      </c>
    </row>
    <row r="295" spans="1:16">
      <c r="A295">
        <v>100992</v>
      </c>
      <c r="B295" s="4">
        <v>45679</v>
      </c>
      <c r="C295" t="s">
        <v>827</v>
      </c>
      <c r="D295" t="s">
        <v>39</v>
      </c>
      <c r="E295" t="s">
        <v>25</v>
      </c>
      <c r="F295" t="s">
        <v>1239</v>
      </c>
      <c r="G295" t="s">
        <v>18</v>
      </c>
      <c r="H295">
        <v>2</v>
      </c>
      <c r="I295">
        <v>184.09</v>
      </c>
      <c r="J295">
        <v>5</v>
      </c>
      <c r="K295">
        <v>349.77</v>
      </c>
      <c r="L295">
        <v>109.44</v>
      </c>
      <c r="M295">
        <v>218.88</v>
      </c>
      <c r="N295">
        <v>17</v>
      </c>
      <c r="O295" t="s">
        <v>19</v>
      </c>
      <c r="P295" t="s">
        <v>35</v>
      </c>
    </row>
    <row r="296" spans="1:16">
      <c r="A296">
        <v>100100</v>
      </c>
      <c r="B296" s="4">
        <v>45592</v>
      </c>
      <c r="C296" t="s">
        <v>346</v>
      </c>
      <c r="D296" t="s">
        <v>24</v>
      </c>
      <c r="E296" t="s">
        <v>25</v>
      </c>
      <c r="F296" t="s">
        <v>1239</v>
      </c>
      <c r="G296" t="s">
        <v>48</v>
      </c>
      <c r="H296">
        <v>4</v>
      </c>
      <c r="I296">
        <v>97.97</v>
      </c>
      <c r="J296">
        <v>0</v>
      </c>
      <c r="K296">
        <v>391.88</v>
      </c>
      <c r="L296">
        <v>115.9</v>
      </c>
      <c r="M296">
        <v>463.6</v>
      </c>
      <c r="N296">
        <v>34</v>
      </c>
      <c r="O296" t="s">
        <v>26</v>
      </c>
      <c r="P296" t="s">
        <v>43</v>
      </c>
    </row>
    <row r="297" spans="1:16">
      <c r="A297">
        <v>100473</v>
      </c>
      <c r="B297" s="4">
        <v>45162</v>
      </c>
      <c r="C297" t="s">
        <v>825</v>
      </c>
      <c r="D297" t="s">
        <v>24</v>
      </c>
      <c r="E297" t="s">
        <v>25</v>
      </c>
      <c r="F297" t="s">
        <v>1241</v>
      </c>
      <c r="G297" t="s">
        <v>18</v>
      </c>
      <c r="H297">
        <v>6</v>
      </c>
      <c r="I297">
        <v>101.44</v>
      </c>
      <c r="J297">
        <v>0</v>
      </c>
      <c r="K297">
        <v>608.64</v>
      </c>
      <c r="L297">
        <v>152.53</v>
      </c>
      <c r="M297">
        <v>915.18000000000006</v>
      </c>
      <c r="N297">
        <v>34</v>
      </c>
      <c r="O297" t="s">
        <v>26</v>
      </c>
      <c r="P297" t="s">
        <v>27</v>
      </c>
    </row>
    <row r="298" spans="1:16">
      <c r="A298">
        <v>100494</v>
      </c>
      <c r="B298" s="4">
        <v>45681</v>
      </c>
      <c r="C298" t="s">
        <v>348</v>
      </c>
      <c r="D298" t="s">
        <v>24</v>
      </c>
      <c r="E298" t="s">
        <v>25</v>
      </c>
      <c r="F298" t="s">
        <v>1238</v>
      </c>
      <c r="G298" t="s">
        <v>31</v>
      </c>
      <c r="H298">
        <v>2</v>
      </c>
      <c r="I298">
        <v>87.49</v>
      </c>
      <c r="J298">
        <v>0</v>
      </c>
      <c r="K298">
        <v>174.98</v>
      </c>
      <c r="L298">
        <v>60.66</v>
      </c>
      <c r="M298">
        <v>121.32</v>
      </c>
      <c r="N298">
        <v>23</v>
      </c>
      <c r="O298" t="s">
        <v>19</v>
      </c>
      <c r="P298" t="s">
        <v>43</v>
      </c>
    </row>
    <row r="299" spans="1:16">
      <c r="A299">
        <v>100512</v>
      </c>
      <c r="B299" s="4">
        <v>45786</v>
      </c>
      <c r="C299" t="s">
        <v>240</v>
      </c>
      <c r="D299" t="s">
        <v>87</v>
      </c>
      <c r="E299" t="s">
        <v>25</v>
      </c>
      <c r="F299" t="s">
        <v>1238</v>
      </c>
      <c r="G299" t="s">
        <v>18</v>
      </c>
      <c r="H299">
        <v>1</v>
      </c>
      <c r="I299">
        <v>82.72</v>
      </c>
      <c r="J299">
        <v>5</v>
      </c>
      <c r="K299">
        <v>78.58</v>
      </c>
      <c r="L299">
        <v>24.92</v>
      </c>
      <c r="M299">
        <v>24.92</v>
      </c>
      <c r="N299">
        <v>34</v>
      </c>
      <c r="O299" t="s">
        <v>19</v>
      </c>
      <c r="P299" t="s">
        <v>20</v>
      </c>
    </row>
    <row r="300" spans="1:16">
      <c r="A300">
        <v>100750</v>
      </c>
      <c r="B300" s="4">
        <v>45255</v>
      </c>
      <c r="C300" t="s">
        <v>818</v>
      </c>
      <c r="D300" t="s">
        <v>70</v>
      </c>
      <c r="E300" t="s">
        <v>25</v>
      </c>
      <c r="F300" t="s">
        <v>1241</v>
      </c>
      <c r="G300" t="s">
        <v>48</v>
      </c>
      <c r="H300">
        <v>1</v>
      </c>
      <c r="I300">
        <v>168.9</v>
      </c>
      <c r="J300">
        <v>10</v>
      </c>
      <c r="K300">
        <v>152.01</v>
      </c>
      <c r="L300">
        <v>45.82</v>
      </c>
      <c r="M300">
        <v>45.82</v>
      </c>
      <c r="N300">
        <v>22</v>
      </c>
      <c r="O300" t="s">
        <v>26</v>
      </c>
      <c r="P300" t="s">
        <v>81</v>
      </c>
    </row>
    <row r="301" spans="1:16">
      <c r="A301">
        <v>101127</v>
      </c>
      <c r="B301" s="4">
        <v>45044</v>
      </c>
      <c r="C301" t="s">
        <v>817</v>
      </c>
      <c r="D301" t="s">
        <v>73</v>
      </c>
      <c r="E301" t="s">
        <v>25</v>
      </c>
      <c r="F301" t="s">
        <v>1241</v>
      </c>
      <c r="G301" t="s">
        <v>18</v>
      </c>
      <c r="H301">
        <v>6</v>
      </c>
      <c r="I301">
        <v>40.479999999999997</v>
      </c>
      <c r="J301">
        <v>10</v>
      </c>
      <c r="K301">
        <v>218.59</v>
      </c>
      <c r="L301">
        <v>47.7</v>
      </c>
      <c r="M301">
        <v>286.20000000000005</v>
      </c>
      <c r="N301">
        <v>37</v>
      </c>
      <c r="O301" t="s">
        <v>19</v>
      </c>
      <c r="P301" t="s">
        <v>35</v>
      </c>
    </row>
    <row r="302" spans="1:16">
      <c r="A302">
        <v>100637</v>
      </c>
      <c r="B302" s="4">
        <v>45013</v>
      </c>
      <c r="C302" t="s">
        <v>816</v>
      </c>
      <c r="D302" t="s">
        <v>68</v>
      </c>
      <c r="E302" t="s">
        <v>25</v>
      </c>
      <c r="F302" t="s">
        <v>1238</v>
      </c>
      <c r="G302" t="s">
        <v>31</v>
      </c>
      <c r="H302">
        <v>1</v>
      </c>
      <c r="I302">
        <v>205.68</v>
      </c>
      <c r="J302">
        <v>0</v>
      </c>
      <c r="K302">
        <v>205.68</v>
      </c>
      <c r="L302">
        <v>66.19</v>
      </c>
      <c r="M302">
        <v>66.19</v>
      </c>
      <c r="N302">
        <v>16</v>
      </c>
      <c r="O302" t="s">
        <v>19</v>
      </c>
      <c r="P302" t="s">
        <v>32</v>
      </c>
    </row>
    <row r="303" spans="1:16">
      <c r="A303">
        <v>100986</v>
      </c>
      <c r="B303" s="4">
        <v>45441</v>
      </c>
      <c r="C303" t="s">
        <v>353</v>
      </c>
      <c r="D303" t="s">
        <v>87</v>
      </c>
      <c r="E303" t="s">
        <v>25</v>
      </c>
      <c r="F303" t="s">
        <v>1239</v>
      </c>
      <c r="G303" t="s">
        <v>31</v>
      </c>
      <c r="H303">
        <v>1</v>
      </c>
      <c r="I303">
        <v>80.89</v>
      </c>
      <c r="J303">
        <v>40</v>
      </c>
      <c r="K303">
        <v>48.53</v>
      </c>
      <c r="L303">
        <v>16.34</v>
      </c>
      <c r="M303">
        <v>16.34</v>
      </c>
      <c r="N303">
        <v>19</v>
      </c>
      <c r="O303" t="s">
        <v>19</v>
      </c>
      <c r="P303" t="s">
        <v>51</v>
      </c>
    </row>
    <row r="304" spans="1:16">
      <c r="A304">
        <v>100227</v>
      </c>
      <c r="B304" s="4">
        <v>45241</v>
      </c>
      <c r="C304" t="s">
        <v>354</v>
      </c>
      <c r="D304" t="s">
        <v>42</v>
      </c>
      <c r="E304" t="s">
        <v>25</v>
      </c>
      <c r="F304" t="s">
        <v>1238</v>
      </c>
      <c r="G304" t="s">
        <v>48</v>
      </c>
      <c r="H304">
        <v>5</v>
      </c>
      <c r="I304">
        <v>165.64</v>
      </c>
      <c r="J304">
        <v>5</v>
      </c>
      <c r="K304">
        <v>786.79</v>
      </c>
      <c r="L304">
        <v>254.6</v>
      </c>
      <c r="M304">
        <v>1273</v>
      </c>
      <c r="N304">
        <v>31</v>
      </c>
      <c r="O304" t="s">
        <v>19</v>
      </c>
      <c r="P304" t="s">
        <v>20</v>
      </c>
    </row>
    <row r="305" spans="1:16">
      <c r="A305">
        <v>100188</v>
      </c>
      <c r="B305" s="4">
        <v>45051</v>
      </c>
      <c r="C305" t="s">
        <v>33</v>
      </c>
      <c r="D305" t="s">
        <v>73</v>
      </c>
      <c r="E305" t="s">
        <v>25</v>
      </c>
      <c r="F305" t="s">
        <v>1241</v>
      </c>
      <c r="G305" t="s">
        <v>31</v>
      </c>
      <c r="H305">
        <v>1</v>
      </c>
      <c r="I305">
        <v>36.47</v>
      </c>
      <c r="J305">
        <v>0</v>
      </c>
      <c r="K305">
        <v>36.47</v>
      </c>
      <c r="L305">
        <v>14.19</v>
      </c>
      <c r="M305">
        <v>14.19</v>
      </c>
      <c r="N305">
        <v>31</v>
      </c>
      <c r="O305" t="s">
        <v>26</v>
      </c>
      <c r="P305" t="s">
        <v>43</v>
      </c>
    </row>
    <row r="306" spans="1:16">
      <c r="A306">
        <v>100580</v>
      </c>
      <c r="B306" s="4">
        <v>45786</v>
      </c>
      <c r="C306" t="s">
        <v>807</v>
      </c>
      <c r="D306" t="s">
        <v>68</v>
      </c>
      <c r="E306" t="s">
        <v>25</v>
      </c>
      <c r="F306" t="s">
        <v>1237</v>
      </c>
      <c r="G306" t="s">
        <v>48</v>
      </c>
      <c r="H306">
        <v>2</v>
      </c>
      <c r="I306">
        <v>246.33</v>
      </c>
      <c r="J306">
        <v>0</v>
      </c>
      <c r="K306">
        <v>492.66</v>
      </c>
      <c r="L306">
        <v>136.07</v>
      </c>
      <c r="M306">
        <v>272.14</v>
      </c>
      <c r="N306">
        <v>23</v>
      </c>
      <c r="O306" t="s">
        <v>26</v>
      </c>
      <c r="P306" t="s">
        <v>32</v>
      </c>
    </row>
    <row r="307" spans="1:16">
      <c r="A307">
        <v>101042</v>
      </c>
      <c r="B307" s="4">
        <v>44971</v>
      </c>
      <c r="C307" t="s">
        <v>806</v>
      </c>
      <c r="D307" t="s">
        <v>68</v>
      </c>
      <c r="E307" t="s">
        <v>25</v>
      </c>
      <c r="F307" t="s">
        <v>1237</v>
      </c>
      <c r="G307" t="s">
        <v>18</v>
      </c>
      <c r="H307">
        <v>1</v>
      </c>
      <c r="I307">
        <v>224.81</v>
      </c>
      <c r="J307">
        <v>20</v>
      </c>
      <c r="K307">
        <v>179.85</v>
      </c>
      <c r="L307">
        <v>44.98</v>
      </c>
      <c r="M307">
        <v>44.98</v>
      </c>
      <c r="N307">
        <v>20</v>
      </c>
      <c r="O307" t="s">
        <v>19</v>
      </c>
      <c r="P307" t="s">
        <v>43</v>
      </c>
    </row>
    <row r="308" spans="1:16">
      <c r="A308">
        <v>100924</v>
      </c>
      <c r="B308" s="4">
        <v>45516</v>
      </c>
      <c r="C308" t="s">
        <v>358</v>
      </c>
      <c r="D308" t="s">
        <v>70</v>
      </c>
      <c r="E308" t="s">
        <v>25</v>
      </c>
      <c r="F308" t="s">
        <v>1241</v>
      </c>
      <c r="G308" t="s">
        <v>48</v>
      </c>
      <c r="H308">
        <v>2</v>
      </c>
      <c r="I308">
        <v>149.1</v>
      </c>
      <c r="J308">
        <v>0</v>
      </c>
      <c r="K308">
        <v>298.2</v>
      </c>
      <c r="L308">
        <v>76.67</v>
      </c>
      <c r="M308">
        <v>153.34</v>
      </c>
      <c r="N308">
        <v>29</v>
      </c>
      <c r="O308" t="s">
        <v>26</v>
      </c>
      <c r="P308" t="s">
        <v>20</v>
      </c>
    </row>
    <row r="309" spans="1:16">
      <c r="A309">
        <v>100075</v>
      </c>
      <c r="B309" s="4">
        <v>45029</v>
      </c>
      <c r="C309" t="s">
        <v>805</v>
      </c>
      <c r="D309" t="s">
        <v>73</v>
      </c>
      <c r="E309" t="s">
        <v>25</v>
      </c>
      <c r="F309" t="s">
        <v>1238</v>
      </c>
      <c r="G309" t="s">
        <v>18</v>
      </c>
      <c r="H309">
        <v>3</v>
      </c>
      <c r="I309">
        <v>40.130000000000003</v>
      </c>
      <c r="J309">
        <v>5</v>
      </c>
      <c r="K309">
        <v>114.37</v>
      </c>
      <c r="L309">
        <v>33.89</v>
      </c>
      <c r="M309">
        <v>101.67</v>
      </c>
      <c r="N309">
        <v>27</v>
      </c>
      <c r="O309" t="s">
        <v>19</v>
      </c>
      <c r="P309" t="s">
        <v>35</v>
      </c>
    </row>
    <row r="310" spans="1:16">
      <c r="A310">
        <v>100796</v>
      </c>
      <c r="B310" s="4">
        <v>45353</v>
      </c>
      <c r="C310" t="s">
        <v>803</v>
      </c>
      <c r="D310" t="s">
        <v>24</v>
      </c>
      <c r="E310" t="s">
        <v>25</v>
      </c>
      <c r="F310" t="s">
        <v>1238</v>
      </c>
      <c r="G310" t="s">
        <v>18</v>
      </c>
      <c r="H310">
        <v>3</v>
      </c>
      <c r="I310">
        <v>98.75</v>
      </c>
      <c r="J310">
        <v>20</v>
      </c>
      <c r="K310">
        <v>237</v>
      </c>
      <c r="L310">
        <v>70.42</v>
      </c>
      <c r="M310">
        <v>211.26</v>
      </c>
      <c r="N310">
        <v>38</v>
      </c>
      <c r="O310" t="s">
        <v>26</v>
      </c>
      <c r="P310" t="s">
        <v>20</v>
      </c>
    </row>
    <row r="311" spans="1:16">
      <c r="A311">
        <v>100696</v>
      </c>
      <c r="B311" s="4">
        <v>45560</v>
      </c>
      <c r="C311" t="s">
        <v>800</v>
      </c>
      <c r="D311" t="s">
        <v>70</v>
      </c>
      <c r="E311" t="s">
        <v>25</v>
      </c>
      <c r="F311" t="s">
        <v>1241</v>
      </c>
      <c r="G311" t="s">
        <v>31</v>
      </c>
      <c r="H311">
        <v>5</v>
      </c>
      <c r="I311">
        <v>160.76</v>
      </c>
      <c r="J311">
        <v>5</v>
      </c>
      <c r="K311">
        <v>763.61</v>
      </c>
      <c r="L311">
        <v>165.24</v>
      </c>
      <c r="M311">
        <v>826.2</v>
      </c>
      <c r="N311">
        <v>27</v>
      </c>
      <c r="O311" t="s">
        <v>26</v>
      </c>
      <c r="P311" t="s">
        <v>51</v>
      </c>
    </row>
    <row r="312" spans="1:16">
      <c r="A312">
        <v>100211</v>
      </c>
      <c r="B312" s="4">
        <v>45458</v>
      </c>
      <c r="C312" t="s">
        <v>362</v>
      </c>
      <c r="D312" t="s">
        <v>73</v>
      </c>
      <c r="E312" t="s">
        <v>25</v>
      </c>
      <c r="F312" t="s">
        <v>1240</v>
      </c>
      <c r="G312" t="s">
        <v>31</v>
      </c>
      <c r="H312">
        <v>3</v>
      </c>
      <c r="I312">
        <v>40.36</v>
      </c>
      <c r="J312">
        <v>0</v>
      </c>
      <c r="K312">
        <v>121.08</v>
      </c>
      <c r="L312">
        <v>36.14</v>
      </c>
      <c r="M312">
        <v>108.42</v>
      </c>
      <c r="N312">
        <v>46</v>
      </c>
      <c r="O312" t="s">
        <v>26</v>
      </c>
      <c r="P312" t="s">
        <v>35</v>
      </c>
    </row>
    <row r="313" spans="1:16">
      <c r="A313">
        <v>100284</v>
      </c>
      <c r="B313" s="4">
        <v>45393</v>
      </c>
      <c r="C313" t="s">
        <v>799</v>
      </c>
      <c r="D313" t="s">
        <v>73</v>
      </c>
      <c r="E313" t="s">
        <v>25</v>
      </c>
      <c r="F313" t="s">
        <v>1238</v>
      </c>
      <c r="G313" t="s">
        <v>18</v>
      </c>
      <c r="H313">
        <v>4</v>
      </c>
      <c r="I313">
        <v>33.42</v>
      </c>
      <c r="J313">
        <v>0</v>
      </c>
      <c r="K313">
        <v>133.68</v>
      </c>
      <c r="L313">
        <v>41.34</v>
      </c>
      <c r="M313">
        <v>165.36</v>
      </c>
      <c r="N313">
        <v>38</v>
      </c>
      <c r="O313" t="s">
        <v>19</v>
      </c>
      <c r="P313" t="s">
        <v>46</v>
      </c>
    </row>
    <row r="314" spans="1:16">
      <c r="A314">
        <v>100493</v>
      </c>
      <c r="B314" s="4">
        <v>45926</v>
      </c>
      <c r="C314" t="s">
        <v>364</v>
      </c>
      <c r="D314" t="s">
        <v>42</v>
      </c>
      <c r="E314" t="s">
        <v>25</v>
      </c>
      <c r="F314" t="s">
        <v>1241</v>
      </c>
      <c r="G314" t="s">
        <v>18</v>
      </c>
      <c r="H314">
        <v>5</v>
      </c>
      <c r="I314">
        <v>163.98</v>
      </c>
      <c r="J314">
        <v>10</v>
      </c>
      <c r="K314">
        <v>737.91</v>
      </c>
      <c r="L314">
        <v>217.96</v>
      </c>
      <c r="M314">
        <v>1089.8</v>
      </c>
      <c r="N314">
        <v>20</v>
      </c>
      <c r="O314" t="s">
        <v>19</v>
      </c>
      <c r="P314" t="s">
        <v>32</v>
      </c>
    </row>
    <row r="315" spans="1:16">
      <c r="A315">
        <v>100894</v>
      </c>
      <c r="B315" s="4">
        <v>45404</v>
      </c>
      <c r="C315" t="s">
        <v>798</v>
      </c>
      <c r="D315" t="s">
        <v>100</v>
      </c>
      <c r="E315" t="s">
        <v>25</v>
      </c>
      <c r="F315" t="s">
        <v>1238</v>
      </c>
      <c r="G315" t="s">
        <v>31</v>
      </c>
      <c r="H315">
        <v>4</v>
      </c>
      <c r="I315">
        <v>118.61</v>
      </c>
      <c r="J315">
        <v>20</v>
      </c>
      <c r="K315">
        <v>379.55</v>
      </c>
      <c r="L315">
        <v>53.58</v>
      </c>
      <c r="M315">
        <v>214.32</v>
      </c>
      <c r="N315">
        <v>52</v>
      </c>
      <c r="O315" t="s">
        <v>19</v>
      </c>
      <c r="P315" t="s">
        <v>32</v>
      </c>
    </row>
    <row r="316" spans="1:16">
      <c r="A316">
        <v>100299</v>
      </c>
      <c r="B316" s="4">
        <v>45808</v>
      </c>
      <c r="C316" t="s">
        <v>366</v>
      </c>
      <c r="D316" t="s">
        <v>100</v>
      </c>
      <c r="E316" t="s">
        <v>25</v>
      </c>
      <c r="F316" t="s">
        <v>1241</v>
      </c>
      <c r="G316" t="s">
        <v>18</v>
      </c>
      <c r="H316">
        <v>3</v>
      </c>
      <c r="I316">
        <v>129.63</v>
      </c>
      <c r="J316">
        <v>0</v>
      </c>
      <c r="K316">
        <v>388.89</v>
      </c>
      <c r="L316">
        <v>108.37</v>
      </c>
      <c r="M316">
        <v>325.11</v>
      </c>
      <c r="N316">
        <v>25</v>
      </c>
      <c r="O316" t="s">
        <v>26</v>
      </c>
      <c r="P316" t="s">
        <v>51</v>
      </c>
    </row>
    <row r="317" spans="1:16">
      <c r="A317">
        <v>100410</v>
      </c>
      <c r="B317" s="4">
        <v>45216</v>
      </c>
      <c r="C317" t="s">
        <v>367</v>
      </c>
      <c r="D317" t="s">
        <v>87</v>
      </c>
      <c r="E317" t="s">
        <v>25</v>
      </c>
      <c r="F317" t="s">
        <v>1238</v>
      </c>
      <c r="G317" t="s">
        <v>31</v>
      </c>
      <c r="H317">
        <v>3</v>
      </c>
      <c r="I317">
        <v>74.069999999999993</v>
      </c>
      <c r="J317">
        <v>0</v>
      </c>
      <c r="K317">
        <v>222.21</v>
      </c>
      <c r="L317">
        <v>68.72</v>
      </c>
      <c r="M317">
        <v>206.16</v>
      </c>
      <c r="N317">
        <v>36</v>
      </c>
      <c r="O317" t="s">
        <v>19</v>
      </c>
      <c r="P317" t="s">
        <v>51</v>
      </c>
    </row>
    <row r="318" spans="1:16">
      <c r="A318">
        <v>100093</v>
      </c>
      <c r="B318" s="4">
        <v>45157</v>
      </c>
      <c r="C318" t="s">
        <v>795</v>
      </c>
      <c r="D318" t="s">
        <v>87</v>
      </c>
      <c r="E318" t="s">
        <v>25</v>
      </c>
      <c r="F318" t="s">
        <v>1241</v>
      </c>
      <c r="G318" t="s">
        <v>48</v>
      </c>
      <c r="H318">
        <v>2</v>
      </c>
      <c r="I318">
        <v>68.290000000000006</v>
      </c>
      <c r="J318">
        <v>5</v>
      </c>
      <c r="K318">
        <v>129.75</v>
      </c>
      <c r="L318">
        <v>37.71</v>
      </c>
      <c r="M318">
        <v>75.42</v>
      </c>
      <c r="N318">
        <v>29</v>
      </c>
      <c r="O318" t="s">
        <v>26</v>
      </c>
      <c r="P318" t="s">
        <v>20</v>
      </c>
    </row>
    <row r="319" spans="1:16">
      <c r="A319">
        <v>101074</v>
      </c>
      <c r="B319" s="4">
        <v>45301</v>
      </c>
      <c r="C319" t="s">
        <v>369</v>
      </c>
      <c r="D319" t="s">
        <v>68</v>
      </c>
      <c r="E319" t="s">
        <v>25</v>
      </c>
      <c r="F319" t="s">
        <v>1241</v>
      </c>
      <c r="G319" t="s">
        <v>31</v>
      </c>
      <c r="H319">
        <v>3</v>
      </c>
      <c r="I319">
        <v>219.01</v>
      </c>
      <c r="J319">
        <v>10</v>
      </c>
      <c r="K319">
        <v>591.33000000000004</v>
      </c>
      <c r="L319">
        <v>166.09</v>
      </c>
      <c r="M319">
        <v>498.27</v>
      </c>
      <c r="N319">
        <v>34</v>
      </c>
      <c r="O319" t="s">
        <v>19</v>
      </c>
      <c r="P319" t="s">
        <v>35</v>
      </c>
    </row>
    <row r="320" spans="1:16">
      <c r="A320">
        <v>100695</v>
      </c>
      <c r="B320" s="4">
        <v>45680</v>
      </c>
      <c r="C320" t="s">
        <v>370</v>
      </c>
      <c r="D320" t="s">
        <v>70</v>
      </c>
      <c r="E320" t="s">
        <v>25</v>
      </c>
      <c r="F320" t="s">
        <v>1239</v>
      </c>
      <c r="G320" t="s">
        <v>18</v>
      </c>
      <c r="H320">
        <v>3</v>
      </c>
      <c r="I320">
        <v>162.84</v>
      </c>
      <c r="J320">
        <v>0</v>
      </c>
      <c r="K320">
        <v>488.52</v>
      </c>
      <c r="L320">
        <v>148.62</v>
      </c>
      <c r="M320">
        <v>445.86</v>
      </c>
      <c r="N320">
        <v>43</v>
      </c>
      <c r="O320" t="s">
        <v>26</v>
      </c>
      <c r="P320" t="s">
        <v>32</v>
      </c>
    </row>
    <row r="321" spans="1:16">
      <c r="A321">
        <v>100922</v>
      </c>
      <c r="B321" s="4">
        <v>45528</v>
      </c>
      <c r="C321" t="s">
        <v>794</v>
      </c>
      <c r="D321" t="s">
        <v>73</v>
      </c>
      <c r="E321" t="s">
        <v>25</v>
      </c>
      <c r="F321" t="s">
        <v>1237</v>
      </c>
      <c r="G321" t="s">
        <v>18</v>
      </c>
      <c r="H321">
        <v>4</v>
      </c>
      <c r="I321">
        <v>38.78</v>
      </c>
      <c r="J321">
        <v>0</v>
      </c>
      <c r="K321">
        <v>155.12</v>
      </c>
      <c r="L321">
        <v>56.56</v>
      </c>
      <c r="M321">
        <v>226.24</v>
      </c>
      <c r="N321">
        <v>43</v>
      </c>
      <c r="O321" t="s">
        <v>26</v>
      </c>
      <c r="P321" t="s">
        <v>35</v>
      </c>
    </row>
    <row r="322" spans="1:16">
      <c r="A322">
        <v>100723</v>
      </c>
      <c r="B322" s="4">
        <v>45094</v>
      </c>
      <c r="C322" t="s">
        <v>372</v>
      </c>
      <c r="D322" t="s">
        <v>70</v>
      </c>
      <c r="E322" t="s">
        <v>25</v>
      </c>
      <c r="F322" t="s">
        <v>1238</v>
      </c>
      <c r="G322" t="s">
        <v>48</v>
      </c>
      <c r="H322">
        <v>3</v>
      </c>
      <c r="I322">
        <v>147.44</v>
      </c>
      <c r="J322">
        <v>40</v>
      </c>
      <c r="K322">
        <v>265.39</v>
      </c>
      <c r="L322">
        <v>83.86</v>
      </c>
      <c r="M322">
        <v>251.57999999999998</v>
      </c>
      <c r="N322">
        <v>43</v>
      </c>
      <c r="O322" t="s">
        <v>26</v>
      </c>
      <c r="P322" t="s">
        <v>20</v>
      </c>
    </row>
    <row r="323" spans="1:16">
      <c r="A323">
        <v>100905</v>
      </c>
      <c r="B323" s="4">
        <v>45151</v>
      </c>
      <c r="C323" t="s">
        <v>793</v>
      </c>
      <c r="D323" t="s">
        <v>73</v>
      </c>
      <c r="E323" t="s">
        <v>25</v>
      </c>
      <c r="F323" t="s">
        <v>1241</v>
      </c>
      <c r="G323" t="s">
        <v>18</v>
      </c>
      <c r="H323">
        <v>2</v>
      </c>
      <c r="I323">
        <v>33.17</v>
      </c>
      <c r="J323">
        <v>5</v>
      </c>
      <c r="K323">
        <v>63.02</v>
      </c>
      <c r="L323">
        <v>21.07</v>
      </c>
      <c r="M323">
        <v>42.14</v>
      </c>
      <c r="N323">
        <v>28</v>
      </c>
      <c r="O323" t="s">
        <v>26</v>
      </c>
      <c r="P323" t="s">
        <v>32</v>
      </c>
    </row>
    <row r="324" spans="1:16">
      <c r="A324">
        <v>100217</v>
      </c>
      <c r="B324" s="4">
        <v>45038</v>
      </c>
      <c r="C324" t="s">
        <v>791</v>
      </c>
      <c r="D324" t="s">
        <v>100</v>
      </c>
      <c r="E324" t="s">
        <v>25</v>
      </c>
      <c r="F324" t="s">
        <v>1241</v>
      </c>
      <c r="G324" t="s">
        <v>18</v>
      </c>
      <c r="H324">
        <v>2</v>
      </c>
      <c r="I324">
        <v>130.16</v>
      </c>
      <c r="J324">
        <v>0</v>
      </c>
      <c r="K324">
        <v>260.32</v>
      </c>
      <c r="L324">
        <v>98.85</v>
      </c>
      <c r="M324">
        <v>197.7</v>
      </c>
      <c r="N324">
        <v>23</v>
      </c>
      <c r="O324" t="s">
        <v>19</v>
      </c>
      <c r="P324" t="s">
        <v>51</v>
      </c>
    </row>
    <row r="325" spans="1:16">
      <c r="A325">
        <v>100599</v>
      </c>
      <c r="B325" s="4">
        <v>45880</v>
      </c>
      <c r="C325" t="s">
        <v>375</v>
      </c>
      <c r="D325" t="s">
        <v>70</v>
      </c>
      <c r="E325" t="s">
        <v>25</v>
      </c>
      <c r="F325" t="s">
        <v>1241</v>
      </c>
      <c r="G325" t="s">
        <v>18</v>
      </c>
      <c r="H325">
        <v>4</v>
      </c>
      <c r="I325">
        <v>155.11000000000001</v>
      </c>
      <c r="J325">
        <v>10</v>
      </c>
      <c r="K325">
        <v>558.4</v>
      </c>
      <c r="L325">
        <v>140.93</v>
      </c>
      <c r="M325">
        <v>563.72</v>
      </c>
      <c r="N325">
        <v>24</v>
      </c>
      <c r="O325" t="s">
        <v>26</v>
      </c>
      <c r="P325" t="s">
        <v>27</v>
      </c>
    </row>
    <row r="326" spans="1:16">
      <c r="A326">
        <v>100340</v>
      </c>
      <c r="B326" s="4">
        <v>45078</v>
      </c>
      <c r="C326" t="s">
        <v>788</v>
      </c>
      <c r="D326" t="s">
        <v>24</v>
      </c>
      <c r="E326" t="s">
        <v>25</v>
      </c>
      <c r="F326" t="s">
        <v>1240</v>
      </c>
      <c r="G326" t="s">
        <v>18</v>
      </c>
      <c r="H326">
        <v>1</v>
      </c>
      <c r="I326">
        <v>96.62</v>
      </c>
      <c r="J326">
        <v>0</v>
      </c>
      <c r="K326">
        <v>96.62</v>
      </c>
      <c r="L326">
        <v>25.35</v>
      </c>
      <c r="M326">
        <v>25.35</v>
      </c>
      <c r="N326">
        <v>30</v>
      </c>
      <c r="O326" t="s">
        <v>26</v>
      </c>
      <c r="P326" t="s">
        <v>20</v>
      </c>
    </row>
    <row r="327" spans="1:16">
      <c r="A327">
        <v>100566</v>
      </c>
      <c r="B327" s="4">
        <v>45565</v>
      </c>
      <c r="C327" t="s">
        <v>377</v>
      </c>
      <c r="D327" t="s">
        <v>68</v>
      </c>
      <c r="E327" t="s">
        <v>25</v>
      </c>
      <c r="F327" t="s">
        <v>1239</v>
      </c>
      <c r="G327" t="s">
        <v>18</v>
      </c>
      <c r="H327">
        <v>3</v>
      </c>
      <c r="I327">
        <v>211.03</v>
      </c>
      <c r="J327">
        <v>5</v>
      </c>
      <c r="K327">
        <v>601.44000000000005</v>
      </c>
      <c r="L327">
        <v>181.47</v>
      </c>
      <c r="M327">
        <v>544.41</v>
      </c>
      <c r="N327">
        <v>31</v>
      </c>
      <c r="O327" t="s">
        <v>19</v>
      </c>
      <c r="P327" t="s">
        <v>35</v>
      </c>
    </row>
    <row r="328" spans="1:16">
      <c r="A328">
        <v>100730</v>
      </c>
      <c r="B328" s="4">
        <v>45634</v>
      </c>
      <c r="C328" t="s">
        <v>378</v>
      </c>
      <c r="D328" t="s">
        <v>87</v>
      </c>
      <c r="E328" t="s">
        <v>25</v>
      </c>
      <c r="F328" t="s">
        <v>1237</v>
      </c>
      <c r="G328" t="s">
        <v>31</v>
      </c>
      <c r="H328">
        <v>3</v>
      </c>
      <c r="I328">
        <v>95.98</v>
      </c>
      <c r="J328">
        <v>10</v>
      </c>
      <c r="K328">
        <v>259.14999999999998</v>
      </c>
      <c r="L328">
        <v>73.569999999999993</v>
      </c>
      <c r="M328">
        <v>220.70999999999998</v>
      </c>
      <c r="N328">
        <v>32</v>
      </c>
      <c r="O328" t="s">
        <v>26</v>
      </c>
      <c r="P328" t="s">
        <v>27</v>
      </c>
    </row>
    <row r="329" spans="1:16">
      <c r="A329">
        <v>100273</v>
      </c>
      <c r="B329" s="4">
        <v>45036</v>
      </c>
      <c r="C329" t="s">
        <v>379</v>
      </c>
      <c r="D329" t="s">
        <v>68</v>
      </c>
      <c r="E329" t="s">
        <v>25</v>
      </c>
      <c r="F329" t="s">
        <v>1240</v>
      </c>
      <c r="G329" t="s">
        <v>18</v>
      </c>
      <c r="H329">
        <v>2</v>
      </c>
      <c r="I329">
        <v>220.53</v>
      </c>
      <c r="J329">
        <v>5</v>
      </c>
      <c r="K329">
        <v>419.01</v>
      </c>
      <c r="L329">
        <v>123.73</v>
      </c>
      <c r="M329">
        <v>247.46</v>
      </c>
      <c r="N329">
        <v>29</v>
      </c>
      <c r="O329" t="s">
        <v>19</v>
      </c>
      <c r="P329" t="s">
        <v>43</v>
      </c>
    </row>
    <row r="330" spans="1:16">
      <c r="A330">
        <v>100966</v>
      </c>
      <c r="B330" s="4">
        <v>45816</v>
      </c>
      <c r="C330" t="s">
        <v>380</v>
      </c>
      <c r="D330" t="s">
        <v>42</v>
      </c>
      <c r="E330" t="s">
        <v>25</v>
      </c>
      <c r="F330" t="s">
        <v>1241</v>
      </c>
      <c r="G330" t="s">
        <v>18</v>
      </c>
      <c r="H330">
        <v>2</v>
      </c>
      <c r="I330">
        <v>161.53</v>
      </c>
      <c r="J330">
        <v>10</v>
      </c>
      <c r="K330">
        <v>290.75</v>
      </c>
      <c r="L330">
        <v>75.05</v>
      </c>
      <c r="M330">
        <v>150.1</v>
      </c>
      <c r="N330">
        <v>16</v>
      </c>
      <c r="O330" t="s">
        <v>26</v>
      </c>
      <c r="P330" t="s">
        <v>81</v>
      </c>
    </row>
    <row r="331" spans="1:16">
      <c r="A331">
        <v>100356</v>
      </c>
      <c r="B331" s="4">
        <v>45926</v>
      </c>
      <c r="C331" t="s">
        <v>782</v>
      </c>
      <c r="D331" t="s">
        <v>42</v>
      </c>
      <c r="E331" t="s">
        <v>25</v>
      </c>
      <c r="F331" t="s">
        <v>1238</v>
      </c>
      <c r="G331" t="s">
        <v>31</v>
      </c>
      <c r="H331">
        <v>2</v>
      </c>
      <c r="I331">
        <v>166.99</v>
      </c>
      <c r="J331">
        <v>0</v>
      </c>
      <c r="K331">
        <v>333.98</v>
      </c>
      <c r="L331">
        <v>100.3</v>
      </c>
      <c r="M331">
        <v>200.6</v>
      </c>
      <c r="N331">
        <v>29</v>
      </c>
      <c r="O331" t="s">
        <v>26</v>
      </c>
      <c r="P331" t="s">
        <v>43</v>
      </c>
    </row>
    <row r="332" spans="1:16">
      <c r="A332">
        <v>100099</v>
      </c>
      <c r="B332" s="4">
        <v>44942</v>
      </c>
      <c r="C332" t="s">
        <v>779</v>
      </c>
      <c r="D332" t="s">
        <v>68</v>
      </c>
      <c r="E332" t="s">
        <v>25</v>
      </c>
      <c r="F332" t="s">
        <v>1237</v>
      </c>
      <c r="G332" t="s">
        <v>18</v>
      </c>
      <c r="H332">
        <v>2</v>
      </c>
      <c r="I332">
        <v>212.72</v>
      </c>
      <c r="J332">
        <v>5</v>
      </c>
      <c r="K332">
        <v>404.17</v>
      </c>
      <c r="L332">
        <v>70.67</v>
      </c>
      <c r="M332">
        <v>141.34</v>
      </c>
      <c r="N332">
        <v>35</v>
      </c>
      <c r="O332" t="s">
        <v>26</v>
      </c>
      <c r="P332" t="s">
        <v>20</v>
      </c>
    </row>
    <row r="333" spans="1:16">
      <c r="A333">
        <v>100179</v>
      </c>
      <c r="B333" s="4">
        <v>45255</v>
      </c>
      <c r="C333" t="s">
        <v>778</v>
      </c>
      <c r="D333" t="s">
        <v>87</v>
      </c>
      <c r="E333" t="s">
        <v>25</v>
      </c>
      <c r="F333" t="s">
        <v>1237</v>
      </c>
      <c r="G333" t="s">
        <v>18</v>
      </c>
      <c r="H333">
        <v>3</v>
      </c>
      <c r="I333">
        <v>89.31</v>
      </c>
      <c r="J333">
        <v>10</v>
      </c>
      <c r="K333">
        <v>241.14</v>
      </c>
      <c r="L333">
        <v>71.790000000000006</v>
      </c>
      <c r="M333">
        <v>215.37</v>
      </c>
      <c r="N333">
        <v>31</v>
      </c>
      <c r="O333" t="s">
        <v>19</v>
      </c>
      <c r="P333" t="s">
        <v>32</v>
      </c>
    </row>
    <row r="334" spans="1:16">
      <c r="A334">
        <v>100901</v>
      </c>
      <c r="B334" s="4">
        <v>45708</v>
      </c>
      <c r="C334" t="s">
        <v>772</v>
      </c>
      <c r="D334" t="s">
        <v>100</v>
      </c>
      <c r="E334" t="s">
        <v>25</v>
      </c>
      <c r="F334" t="s">
        <v>1239</v>
      </c>
      <c r="G334" t="s">
        <v>18</v>
      </c>
      <c r="H334">
        <v>1</v>
      </c>
      <c r="I334">
        <v>116.18</v>
      </c>
      <c r="J334">
        <v>0</v>
      </c>
      <c r="K334">
        <v>116.18</v>
      </c>
      <c r="L334">
        <v>34.49</v>
      </c>
      <c r="M334">
        <v>34.49</v>
      </c>
      <c r="N334">
        <v>31</v>
      </c>
      <c r="O334" t="s">
        <v>26</v>
      </c>
      <c r="P334" t="s">
        <v>51</v>
      </c>
    </row>
    <row r="335" spans="1:16">
      <c r="A335">
        <v>100311</v>
      </c>
      <c r="B335" s="4">
        <v>45763</v>
      </c>
      <c r="C335" t="s">
        <v>384</v>
      </c>
      <c r="D335" t="s">
        <v>87</v>
      </c>
      <c r="E335" t="s">
        <v>25</v>
      </c>
      <c r="F335" t="s">
        <v>1238</v>
      </c>
      <c r="G335" t="s">
        <v>18</v>
      </c>
      <c r="H335">
        <v>3</v>
      </c>
      <c r="I335">
        <v>81.489999999999995</v>
      </c>
      <c r="J335">
        <v>0</v>
      </c>
      <c r="K335">
        <v>244.47</v>
      </c>
      <c r="L335">
        <v>98.55</v>
      </c>
      <c r="M335">
        <v>295.64999999999998</v>
      </c>
      <c r="N335">
        <v>21</v>
      </c>
      <c r="O335" t="s">
        <v>26</v>
      </c>
      <c r="P335" t="s">
        <v>32</v>
      </c>
    </row>
    <row r="336" spans="1:16">
      <c r="A336">
        <v>101090</v>
      </c>
      <c r="B336" s="4">
        <v>45487</v>
      </c>
      <c r="C336" t="s">
        <v>385</v>
      </c>
      <c r="D336" t="s">
        <v>24</v>
      </c>
      <c r="E336" t="s">
        <v>25</v>
      </c>
      <c r="F336" t="s">
        <v>1238</v>
      </c>
      <c r="G336" t="s">
        <v>18</v>
      </c>
      <c r="H336">
        <v>2</v>
      </c>
      <c r="I336">
        <v>88.81</v>
      </c>
      <c r="J336">
        <v>5</v>
      </c>
      <c r="K336">
        <v>168.74</v>
      </c>
      <c r="L336">
        <v>52.11</v>
      </c>
      <c r="M336">
        <v>104.22</v>
      </c>
      <c r="N336">
        <v>30</v>
      </c>
      <c r="O336" t="s">
        <v>26</v>
      </c>
      <c r="P336" t="s">
        <v>27</v>
      </c>
    </row>
    <row r="337" spans="1:16">
      <c r="A337">
        <v>100451</v>
      </c>
      <c r="B337" s="4">
        <v>45589</v>
      </c>
      <c r="C337" t="s">
        <v>386</v>
      </c>
      <c r="D337" t="s">
        <v>24</v>
      </c>
      <c r="E337" t="s">
        <v>25</v>
      </c>
      <c r="F337" t="s">
        <v>1241</v>
      </c>
      <c r="G337" t="s">
        <v>31</v>
      </c>
      <c r="H337">
        <v>1</v>
      </c>
      <c r="I337">
        <v>96.41</v>
      </c>
      <c r="J337">
        <v>0</v>
      </c>
      <c r="K337">
        <v>96.41</v>
      </c>
      <c r="L337">
        <v>36.99</v>
      </c>
      <c r="M337">
        <v>36.99</v>
      </c>
      <c r="N337">
        <v>40</v>
      </c>
      <c r="O337" t="s">
        <v>26</v>
      </c>
      <c r="P337" t="s">
        <v>27</v>
      </c>
    </row>
    <row r="338" spans="1:16">
      <c r="A338">
        <v>100257</v>
      </c>
      <c r="B338" s="4">
        <v>45752</v>
      </c>
      <c r="C338" t="s">
        <v>769</v>
      </c>
      <c r="D338" t="s">
        <v>42</v>
      </c>
      <c r="E338" t="s">
        <v>25</v>
      </c>
      <c r="F338" t="s">
        <v>1241</v>
      </c>
      <c r="G338" t="s">
        <v>18</v>
      </c>
      <c r="H338">
        <v>1</v>
      </c>
      <c r="I338">
        <v>126.83</v>
      </c>
      <c r="J338">
        <v>10</v>
      </c>
      <c r="K338">
        <v>114.15</v>
      </c>
      <c r="L338">
        <v>39.17</v>
      </c>
      <c r="M338">
        <v>39.17</v>
      </c>
      <c r="N338">
        <v>23</v>
      </c>
      <c r="O338" t="s">
        <v>26</v>
      </c>
      <c r="P338" t="s">
        <v>20</v>
      </c>
    </row>
    <row r="339" spans="1:16">
      <c r="A339">
        <v>101034</v>
      </c>
      <c r="B339" s="4">
        <v>45161</v>
      </c>
      <c r="C339" t="s">
        <v>768</v>
      </c>
      <c r="D339" t="s">
        <v>87</v>
      </c>
      <c r="E339" t="s">
        <v>25</v>
      </c>
      <c r="F339" t="s">
        <v>1241</v>
      </c>
      <c r="G339" t="s">
        <v>64</v>
      </c>
      <c r="H339">
        <v>2</v>
      </c>
      <c r="I339">
        <v>90.12</v>
      </c>
      <c r="J339">
        <v>10</v>
      </c>
      <c r="K339">
        <v>162.22</v>
      </c>
      <c r="L339">
        <v>43.68</v>
      </c>
      <c r="M339">
        <v>87.36</v>
      </c>
      <c r="N339">
        <v>38</v>
      </c>
      <c r="O339" t="s">
        <v>19</v>
      </c>
      <c r="P339" t="s">
        <v>32</v>
      </c>
    </row>
    <row r="340" spans="1:16">
      <c r="A340">
        <v>101085</v>
      </c>
      <c r="B340" s="4">
        <v>45646</v>
      </c>
      <c r="C340" t="s">
        <v>389</v>
      </c>
      <c r="D340" t="s">
        <v>87</v>
      </c>
      <c r="E340" t="s">
        <v>25</v>
      </c>
      <c r="F340" t="s">
        <v>1239</v>
      </c>
      <c r="G340" t="s">
        <v>31</v>
      </c>
      <c r="H340">
        <v>4</v>
      </c>
      <c r="I340">
        <v>67.959999999999994</v>
      </c>
      <c r="J340">
        <v>5</v>
      </c>
      <c r="K340">
        <v>258.25</v>
      </c>
      <c r="L340">
        <v>117.48</v>
      </c>
      <c r="M340">
        <v>469.92</v>
      </c>
      <c r="N340">
        <v>27</v>
      </c>
      <c r="O340" t="s">
        <v>26</v>
      </c>
      <c r="P340" t="s">
        <v>35</v>
      </c>
    </row>
    <row r="341" spans="1:16">
      <c r="A341">
        <v>100674</v>
      </c>
      <c r="B341" s="4">
        <v>45493</v>
      </c>
      <c r="C341" t="s">
        <v>763</v>
      </c>
      <c r="D341" t="s">
        <v>42</v>
      </c>
      <c r="E341" t="s">
        <v>25</v>
      </c>
      <c r="F341" t="s">
        <v>1239</v>
      </c>
      <c r="G341" t="s">
        <v>18</v>
      </c>
      <c r="H341">
        <v>3</v>
      </c>
      <c r="I341">
        <v>170.01</v>
      </c>
      <c r="J341">
        <v>5</v>
      </c>
      <c r="K341">
        <v>484.53</v>
      </c>
      <c r="L341">
        <v>126.2</v>
      </c>
      <c r="M341">
        <v>378.6</v>
      </c>
      <c r="N341">
        <v>34</v>
      </c>
      <c r="O341" t="s">
        <v>26</v>
      </c>
      <c r="P341" t="s">
        <v>32</v>
      </c>
    </row>
    <row r="342" spans="1:16">
      <c r="A342">
        <v>101157</v>
      </c>
      <c r="B342" s="4">
        <v>45137</v>
      </c>
      <c r="C342" t="s">
        <v>391</v>
      </c>
      <c r="D342" t="s">
        <v>42</v>
      </c>
      <c r="E342" t="s">
        <v>25</v>
      </c>
      <c r="F342" t="s">
        <v>1238</v>
      </c>
      <c r="G342" t="s">
        <v>18</v>
      </c>
      <c r="H342">
        <v>2</v>
      </c>
      <c r="I342">
        <v>165.61</v>
      </c>
      <c r="J342">
        <v>0</v>
      </c>
      <c r="K342">
        <v>331.22</v>
      </c>
      <c r="L342">
        <v>93.05</v>
      </c>
      <c r="M342">
        <v>186.1</v>
      </c>
      <c r="N342">
        <v>19</v>
      </c>
      <c r="O342" t="s">
        <v>19</v>
      </c>
      <c r="P342" t="s">
        <v>81</v>
      </c>
    </row>
    <row r="343" spans="1:16">
      <c r="A343">
        <v>101122</v>
      </c>
      <c r="B343" s="4">
        <v>45876</v>
      </c>
      <c r="C343" t="s">
        <v>762</v>
      </c>
      <c r="D343" t="s">
        <v>100</v>
      </c>
      <c r="E343" t="s">
        <v>25</v>
      </c>
      <c r="F343" t="s">
        <v>1241</v>
      </c>
      <c r="G343" t="s">
        <v>18</v>
      </c>
      <c r="H343">
        <v>2</v>
      </c>
      <c r="I343">
        <v>146.54</v>
      </c>
      <c r="J343">
        <v>10</v>
      </c>
      <c r="K343">
        <v>263.77</v>
      </c>
      <c r="L343">
        <v>71.62</v>
      </c>
      <c r="M343">
        <v>143.24</v>
      </c>
      <c r="N343">
        <v>33</v>
      </c>
      <c r="O343" t="s">
        <v>26</v>
      </c>
      <c r="P343" t="s">
        <v>27</v>
      </c>
    </row>
    <row r="344" spans="1:16">
      <c r="A344">
        <v>100822</v>
      </c>
      <c r="B344" s="4">
        <v>45216</v>
      </c>
      <c r="C344" t="s">
        <v>393</v>
      </c>
      <c r="D344" t="s">
        <v>24</v>
      </c>
      <c r="E344" t="s">
        <v>25</v>
      </c>
      <c r="F344" t="s">
        <v>1241</v>
      </c>
      <c r="G344" t="s">
        <v>18</v>
      </c>
      <c r="H344">
        <v>1</v>
      </c>
      <c r="I344">
        <v>98.91</v>
      </c>
      <c r="J344">
        <v>0</v>
      </c>
      <c r="K344">
        <v>98.91</v>
      </c>
      <c r="L344">
        <v>33.729999999999997</v>
      </c>
      <c r="M344">
        <v>33.729999999999997</v>
      </c>
      <c r="N344">
        <v>22</v>
      </c>
      <c r="O344" t="s">
        <v>19</v>
      </c>
      <c r="P344" t="s">
        <v>27</v>
      </c>
    </row>
    <row r="345" spans="1:16">
      <c r="A345">
        <v>100426</v>
      </c>
      <c r="B345" s="4">
        <v>45299</v>
      </c>
      <c r="C345" t="s">
        <v>759</v>
      </c>
      <c r="D345" t="s">
        <v>70</v>
      </c>
      <c r="E345" t="s">
        <v>25</v>
      </c>
      <c r="F345" t="s">
        <v>1239</v>
      </c>
      <c r="G345" t="s">
        <v>18</v>
      </c>
      <c r="H345">
        <v>4</v>
      </c>
      <c r="I345">
        <v>155.24</v>
      </c>
      <c r="J345">
        <v>0</v>
      </c>
      <c r="K345">
        <v>620.96</v>
      </c>
      <c r="L345">
        <v>198.84</v>
      </c>
      <c r="M345">
        <v>795.36</v>
      </c>
      <c r="N345">
        <v>16</v>
      </c>
      <c r="O345" t="s">
        <v>19</v>
      </c>
      <c r="P345" t="s">
        <v>46</v>
      </c>
    </row>
    <row r="346" spans="1:16">
      <c r="A346">
        <v>100807</v>
      </c>
      <c r="B346" s="4">
        <v>45349</v>
      </c>
      <c r="C346" t="s">
        <v>758</v>
      </c>
      <c r="D346" t="s">
        <v>87</v>
      </c>
      <c r="E346" t="s">
        <v>25</v>
      </c>
      <c r="F346" t="s">
        <v>1237</v>
      </c>
      <c r="G346" t="s">
        <v>48</v>
      </c>
      <c r="H346">
        <v>4</v>
      </c>
      <c r="I346">
        <v>84.54</v>
      </c>
      <c r="J346">
        <v>5</v>
      </c>
      <c r="K346">
        <v>321.25</v>
      </c>
      <c r="L346">
        <v>78.11</v>
      </c>
      <c r="M346">
        <v>312.44</v>
      </c>
      <c r="N346">
        <v>22</v>
      </c>
      <c r="O346" t="s">
        <v>26</v>
      </c>
      <c r="P346" t="s">
        <v>27</v>
      </c>
    </row>
    <row r="347" spans="1:16">
      <c r="A347">
        <v>100926</v>
      </c>
      <c r="B347" s="4">
        <v>45642</v>
      </c>
      <c r="C347" t="s">
        <v>747</v>
      </c>
      <c r="D347" t="s">
        <v>70</v>
      </c>
      <c r="E347" t="s">
        <v>25</v>
      </c>
      <c r="F347" t="s">
        <v>1239</v>
      </c>
      <c r="G347" t="s">
        <v>18</v>
      </c>
      <c r="H347">
        <v>3</v>
      </c>
      <c r="I347">
        <v>161.79</v>
      </c>
      <c r="J347">
        <v>20</v>
      </c>
      <c r="K347">
        <v>388.3</v>
      </c>
      <c r="L347">
        <v>89.31</v>
      </c>
      <c r="M347">
        <v>267.93</v>
      </c>
      <c r="N347">
        <v>47</v>
      </c>
      <c r="O347" t="s">
        <v>19</v>
      </c>
      <c r="P347" t="s">
        <v>20</v>
      </c>
    </row>
    <row r="348" spans="1:16">
      <c r="A348">
        <v>100498</v>
      </c>
      <c r="B348" s="4">
        <v>45420</v>
      </c>
      <c r="C348" t="s">
        <v>745</v>
      </c>
      <c r="D348" t="s">
        <v>87</v>
      </c>
      <c r="E348" t="s">
        <v>25</v>
      </c>
      <c r="F348" t="s">
        <v>1238</v>
      </c>
      <c r="G348" t="s">
        <v>31</v>
      </c>
      <c r="H348">
        <v>4</v>
      </c>
      <c r="I348">
        <v>88.15</v>
      </c>
      <c r="J348">
        <v>40</v>
      </c>
      <c r="K348">
        <v>211.56</v>
      </c>
      <c r="L348">
        <v>49.01</v>
      </c>
      <c r="M348">
        <v>196.04</v>
      </c>
      <c r="N348">
        <v>24</v>
      </c>
      <c r="O348" t="s">
        <v>26</v>
      </c>
      <c r="P348" t="s">
        <v>51</v>
      </c>
    </row>
    <row r="349" spans="1:16">
      <c r="A349">
        <v>101148</v>
      </c>
      <c r="B349" s="4">
        <v>45275</v>
      </c>
      <c r="C349" t="s">
        <v>744</v>
      </c>
      <c r="D349" t="s">
        <v>73</v>
      </c>
      <c r="E349" t="s">
        <v>25</v>
      </c>
      <c r="F349" t="s">
        <v>1237</v>
      </c>
      <c r="G349" t="s">
        <v>31</v>
      </c>
      <c r="H349">
        <v>3</v>
      </c>
      <c r="I349">
        <v>35.85</v>
      </c>
      <c r="J349">
        <v>0</v>
      </c>
      <c r="K349">
        <v>107.55</v>
      </c>
      <c r="L349">
        <v>29.32</v>
      </c>
      <c r="M349">
        <v>87.960000000000008</v>
      </c>
      <c r="N349">
        <v>20</v>
      </c>
      <c r="O349" t="s">
        <v>26</v>
      </c>
      <c r="P349" t="s">
        <v>20</v>
      </c>
    </row>
    <row r="350" spans="1:16">
      <c r="A350">
        <v>100604</v>
      </c>
      <c r="B350" s="4">
        <v>45567</v>
      </c>
      <c r="C350" t="s">
        <v>742</v>
      </c>
      <c r="D350" t="s">
        <v>87</v>
      </c>
      <c r="E350" t="s">
        <v>25</v>
      </c>
      <c r="F350" t="s">
        <v>1241</v>
      </c>
      <c r="G350" t="s">
        <v>31</v>
      </c>
      <c r="H350">
        <v>4</v>
      </c>
      <c r="I350">
        <v>83.05</v>
      </c>
      <c r="J350">
        <v>0</v>
      </c>
      <c r="K350">
        <v>332.2</v>
      </c>
      <c r="L350">
        <v>64.53</v>
      </c>
      <c r="M350">
        <v>258.12</v>
      </c>
      <c r="N350">
        <v>28</v>
      </c>
      <c r="O350" t="s">
        <v>26</v>
      </c>
      <c r="P350" t="s">
        <v>81</v>
      </c>
    </row>
    <row r="351" spans="1:16">
      <c r="A351">
        <v>100398</v>
      </c>
      <c r="B351" s="4">
        <v>45439</v>
      </c>
      <c r="C351" t="s">
        <v>400</v>
      </c>
      <c r="D351" t="s">
        <v>87</v>
      </c>
      <c r="E351" t="s">
        <v>25</v>
      </c>
      <c r="F351" t="s">
        <v>1238</v>
      </c>
      <c r="G351" t="s">
        <v>18</v>
      </c>
      <c r="H351">
        <v>3</v>
      </c>
      <c r="I351">
        <v>67.58</v>
      </c>
      <c r="J351">
        <v>0</v>
      </c>
      <c r="K351">
        <v>202.74</v>
      </c>
      <c r="L351">
        <v>58.89</v>
      </c>
      <c r="M351">
        <v>176.67000000000002</v>
      </c>
      <c r="N351">
        <v>34</v>
      </c>
      <c r="O351" t="s">
        <v>26</v>
      </c>
      <c r="P351" t="s">
        <v>35</v>
      </c>
    </row>
    <row r="352" spans="1:16">
      <c r="A352">
        <v>100256</v>
      </c>
      <c r="B352" s="4">
        <v>44943</v>
      </c>
      <c r="C352" t="s">
        <v>401</v>
      </c>
      <c r="D352" t="s">
        <v>39</v>
      </c>
      <c r="E352" t="s">
        <v>25</v>
      </c>
      <c r="F352" t="s">
        <v>1238</v>
      </c>
      <c r="G352" t="s">
        <v>18</v>
      </c>
      <c r="H352">
        <v>5</v>
      </c>
      <c r="I352">
        <v>172.7</v>
      </c>
      <c r="J352">
        <v>0</v>
      </c>
      <c r="K352">
        <v>863.5</v>
      </c>
      <c r="L352">
        <v>208.49</v>
      </c>
      <c r="M352">
        <v>1042.45</v>
      </c>
      <c r="N352">
        <v>25</v>
      </c>
      <c r="O352" t="s">
        <v>19</v>
      </c>
      <c r="P352" t="s">
        <v>20</v>
      </c>
    </row>
    <row r="353" spans="1:16">
      <c r="A353">
        <v>100417</v>
      </c>
      <c r="B353" s="4">
        <v>45591</v>
      </c>
      <c r="C353" t="s">
        <v>740</v>
      </c>
      <c r="D353" t="s">
        <v>42</v>
      </c>
      <c r="E353" t="s">
        <v>25</v>
      </c>
      <c r="F353" t="s">
        <v>1237</v>
      </c>
      <c r="G353" t="s">
        <v>18</v>
      </c>
      <c r="H353">
        <v>2</v>
      </c>
      <c r="I353">
        <v>164.55</v>
      </c>
      <c r="J353">
        <v>10</v>
      </c>
      <c r="K353">
        <v>296.19</v>
      </c>
      <c r="L353">
        <v>70.34</v>
      </c>
      <c r="M353">
        <v>140.68</v>
      </c>
      <c r="N353">
        <v>34</v>
      </c>
      <c r="O353" t="s">
        <v>19</v>
      </c>
      <c r="P353" t="s">
        <v>35</v>
      </c>
    </row>
    <row r="354" spans="1:16">
      <c r="A354">
        <v>100616</v>
      </c>
      <c r="B354" s="4">
        <v>45837</v>
      </c>
      <c r="C354" t="s">
        <v>226</v>
      </c>
      <c r="D354" t="s">
        <v>70</v>
      </c>
      <c r="E354" t="s">
        <v>25</v>
      </c>
      <c r="F354" t="s">
        <v>1237</v>
      </c>
      <c r="G354" t="s">
        <v>31</v>
      </c>
      <c r="H354">
        <v>6</v>
      </c>
      <c r="I354">
        <v>149.62</v>
      </c>
      <c r="J354">
        <v>10</v>
      </c>
      <c r="K354">
        <v>807.95</v>
      </c>
      <c r="L354">
        <v>253.48</v>
      </c>
      <c r="M354">
        <v>1520.8799999999999</v>
      </c>
      <c r="N354">
        <v>23</v>
      </c>
      <c r="O354" t="s">
        <v>26</v>
      </c>
      <c r="P354" t="s">
        <v>20</v>
      </c>
    </row>
    <row r="355" spans="1:16">
      <c r="A355">
        <v>100336</v>
      </c>
      <c r="B355" s="4">
        <v>45372</v>
      </c>
      <c r="C355" t="s">
        <v>404</v>
      </c>
      <c r="D355" t="s">
        <v>68</v>
      </c>
      <c r="E355" t="s">
        <v>25</v>
      </c>
      <c r="F355" t="s">
        <v>1241</v>
      </c>
      <c r="G355" t="s">
        <v>18</v>
      </c>
      <c r="H355">
        <v>1</v>
      </c>
      <c r="I355">
        <v>212.26</v>
      </c>
      <c r="J355">
        <v>20</v>
      </c>
      <c r="K355">
        <v>169.81</v>
      </c>
      <c r="L355">
        <v>32.200000000000003</v>
      </c>
      <c r="M355">
        <v>32.200000000000003</v>
      </c>
      <c r="N355">
        <v>26</v>
      </c>
      <c r="O355" t="s">
        <v>19</v>
      </c>
      <c r="P355" t="s">
        <v>43</v>
      </c>
    </row>
    <row r="356" spans="1:16">
      <c r="A356">
        <v>100584</v>
      </c>
      <c r="B356" s="4">
        <v>45154</v>
      </c>
      <c r="C356" t="s">
        <v>405</v>
      </c>
      <c r="D356" t="s">
        <v>73</v>
      </c>
      <c r="E356" t="s">
        <v>25</v>
      </c>
      <c r="F356" t="s">
        <v>1241</v>
      </c>
      <c r="G356" t="s">
        <v>64</v>
      </c>
      <c r="H356">
        <v>2</v>
      </c>
      <c r="I356">
        <v>34</v>
      </c>
      <c r="J356">
        <v>0</v>
      </c>
      <c r="K356">
        <v>68</v>
      </c>
      <c r="L356">
        <v>20.12</v>
      </c>
      <c r="M356">
        <v>40.24</v>
      </c>
      <c r="N356">
        <v>24</v>
      </c>
      <c r="O356" t="s">
        <v>122</v>
      </c>
      <c r="P356" t="s">
        <v>46</v>
      </c>
    </row>
    <row r="357" spans="1:16">
      <c r="A357">
        <v>100047</v>
      </c>
      <c r="B357" s="4">
        <v>45488</v>
      </c>
      <c r="C357" t="s">
        <v>406</v>
      </c>
      <c r="D357" t="s">
        <v>39</v>
      </c>
      <c r="E357" t="s">
        <v>25</v>
      </c>
      <c r="F357" t="s">
        <v>1241</v>
      </c>
      <c r="G357" t="s">
        <v>31</v>
      </c>
      <c r="H357">
        <v>2</v>
      </c>
      <c r="I357">
        <v>194.87</v>
      </c>
      <c r="J357">
        <v>5</v>
      </c>
      <c r="K357">
        <v>370.25</v>
      </c>
      <c r="L357">
        <v>134.53</v>
      </c>
      <c r="M357">
        <v>269.06</v>
      </c>
      <c r="N357">
        <v>24</v>
      </c>
      <c r="O357" t="s">
        <v>19</v>
      </c>
      <c r="P357" t="s">
        <v>43</v>
      </c>
    </row>
    <row r="358" spans="1:16">
      <c r="A358">
        <v>101121</v>
      </c>
      <c r="B358" s="4">
        <v>45208</v>
      </c>
      <c r="C358" t="s">
        <v>735</v>
      </c>
      <c r="D358" t="s">
        <v>24</v>
      </c>
      <c r="E358" t="s">
        <v>25</v>
      </c>
      <c r="F358" t="s">
        <v>1237</v>
      </c>
      <c r="G358" t="s">
        <v>31</v>
      </c>
      <c r="H358">
        <v>5</v>
      </c>
      <c r="I358">
        <v>85.87</v>
      </c>
      <c r="J358">
        <v>0</v>
      </c>
      <c r="K358">
        <v>429.35</v>
      </c>
      <c r="L358">
        <v>171.55</v>
      </c>
      <c r="M358">
        <v>857.75</v>
      </c>
      <c r="N358">
        <v>33</v>
      </c>
      <c r="O358" t="s">
        <v>19</v>
      </c>
      <c r="P358" t="s">
        <v>27</v>
      </c>
    </row>
    <row r="359" spans="1:16">
      <c r="A359">
        <v>100412</v>
      </c>
      <c r="B359" s="4">
        <v>44940</v>
      </c>
      <c r="C359" t="s">
        <v>733</v>
      </c>
      <c r="D359" t="s">
        <v>24</v>
      </c>
      <c r="E359" t="s">
        <v>25</v>
      </c>
      <c r="F359" t="s">
        <v>1239</v>
      </c>
      <c r="G359" t="s">
        <v>31</v>
      </c>
      <c r="H359">
        <v>5</v>
      </c>
      <c r="I359">
        <v>91.74</v>
      </c>
      <c r="J359">
        <v>0</v>
      </c>
      <c r="K359">
        <v>458.7</v>
      </c>
      <c r="L359">
        <v>151.11000000000001</v>
      </c>
      <c r="M359">
        <v>755.55000000000007</v>
      </c>
      <c r="N359">
        <v>30</v>
      </c>
      <c r="O359" t="s">
        <v>26</v>
      </c>
      <c r="P359" t="s">
        <v>27</v>
      </c>
    </row>
    <row r="360" spans="1:16">
      <c r="A360">
        <v>100720</v>
      </c>
      <c r="B360" s="4">
        <v>45354</v>
      </c>
      <c r="C360" t="s">
        <v>722</v>
      </c>
      <c r="D360" t="s">
        <v>42</v>
      </c>
      <c r="E360" t="s">
        <v>25</v>
      </c>
      <c r="F360" t="s">
        <v>1237</v>
      </c>
      <c r="G360" t="s">
        <v>18</v>
      </c>
      <c r="H360">
        <v>1</v>
      </c>
      <c r="I360">
        <v>145.79</v>
      </c>
      <c r="J360">
        <v>5</v>
      </c>
      <c r="K360">
        <v>138.5</v>
      </c>
      <c r="L360">
        <v>49.49</v>
      </c>
      <c r="M360">
        <v>49.49</v>
      </c>
      <c r="N360">
        <v>18</v>
      </c>
      <c r="O360" t="s">
        <v>26</v>
      </c>
      <c r="P360" t="s">
        <v>20</v>
      </c>
    </row>
    <row r="361" spans="1:16">
      <c r="A361">
        <v>100055</v>
      </c>
      <c r="B361" s="4">
        <v>45068</v>
      </c>
      <c r="C361" t="s">
        <v>410</v>
      </c>
      <c r="D361" t="s">
        <v>68</v>
      </c>
      <c r="E361" t="s">
        <v>25</v>
      </c>
      <c r="F361" t="s">
        <v>1237</v>
      </c>
      <c r="G361" t="s">
        <v>31</v>
      </c>
      <c r="H361">
        <v>1</v>
      </c>
      <c r="I361">
        <v>234.95</v>
      </c>
      <c r="J361">
        <v>20</v>
      </c>
      <c r="K361">
        <v>187.96</v>
      </c>
      <c r="L361">
        <v>65.34</v>
      </c>
      <c r="M361">
        <v>65.34</v>
      </c>
      <c r="N361">
        <v>41</v>
      </c>
      <c r="O361" t="s">
        <v>26</v>
      </c>
      <c r="P361" t="s">
        <v>32</v>
      </c>
    </row>
    <row r="362" spans="1:16">
      <c r="A362">
        <v>100368</v>
      </c>
      <c r="B362" s="4">
        <v>45927</v>
      </c>
      <c r="C362" t="s">
        <v>718</v>
      </c>
      <c r="D362" t="s">
        <v>24</v>
      </c>
      <c r="E362" t="s">
        <v>25</v>
      </c>
      <c r="F362" t="s">
        <v>1241</v>
      </c>
      <c r="G362" t="s">
        <v>31</v>
      </c>
      <c r="H362">
        <v>4</v>
      </c>
      <c r="I362">
        <v>90.47</v>
      </c>
      <c r="J362">
        <v>5</v>
      </c>
      <c r="K362">
        <v>343.79</v>
      </c>
      <c r="L362">
        <v>126.76</v>
      </c>
      <c r="M362">
        <v>507.04</v>
      </c>
      <c r="N362">
        <v>29</v>
      </c>
      <c r="O362" t="s">
        <v>26</v>
      </c>
      <c r="P362" t="s">
        <v>20</v>
      </c>
    </row>
    <row r="363" spans="1:16">
      <c r="A363">
        <v>100061</v>
      </c>
      <c r="B363" s="4">
        <v>45185</v>
      </c>
      <c r="C363" t="s">
        <v>713</v>
      </c>
      <c r="D363" t="s">
        <v>24</v>
      </c>
      <c r="E363" t="s">
        <v>25</v>
      </c>
      <c r="F363" t="s">
        <v>1237</v>
      </c>
      <c r="G363" t="s">
        <v>18</v>
      </c>
      <c r="H363">
        <v>4</v>
      </c>
      <c r="I363">
        <v>85.91</v>
      </c>
      <c r="J363">
        <v>5</v>
      </c>
      <c r="K363">
        <v>326.45999999999998</v>
      </c>
      <c r="L363">
        <v>86.53</v>
      </c>
      <c r="M363">
        <v>346.12</v>
      </c>
      <c r="N363">
        <v>29</v>
      </c>
      <c r="O363" t="s">
        <v>19</v>
      </c>
      <c r="P363" t="s">
        <v>51</v>
      </c>
    </row>
    <row r="364" spans="1:16">
      <c r="A364">
        <v>100120</v>
      </c>
      <c r="B364" s="4">
        <v>45209</v>
      </c>
      <c r="C364" t="s">
        <v>413</v>
      </c>
      <c r="D364" t="s">
        <v>73</v>
      </c>
      <c r="E364" t="s">
        <v>25</v>
      </c>
      <c r="F364" t="s">
        <v>1240</v>
      </c>
      <c r="G364" t="s">
        <v>48</v>
      </c>
      <c r="H364">
        <v>3</v>
      </c>
      <c r="I364">
        <v>33.35</v>
      </c>
      <c r="J364">
        <v>0</v>
      </c>
      <c r="K364">
        <v>100.05</v>
      </c>
      <c r="L364">
        <v>29.35</v>
      </c>
      <c r="M364">
        <v>88.050000000000011</v>
      </c>
      <c r="N364">
        <v>21</v>
      </c>
      <c r="O364" t="s">
        <v>26</v>
      </c>
      <c r="P364" t="s">
        <v>51</v>
      </c>
    </row>
    <row r="365" spans="1:16">
      <c r="A365">
        <v>100948</v>
      </c>
      <c r="B365" s="4">
        <v>45887</v>
      </c>
      <c r="C365" t="s">
        <v>710</v>
      </c>
      <c r="D365" t="s">
        <v>73</v>
      </c>
      <c r="E365" t="s">
        <v>25</v>
      </c>
      <c r="F365" t="s">
        <v>1241</v>
      </c>
      <c r="G365" t="s">
        <v>31</v>
      </c>
      <c r="H365">
        <v>4</v>
      </c>
      <c r="I365">
        <v>31.44</v>
      </c>
      <c r="J365">
        <v>10</v>
      </c>
      <c r="K365">
        <v>113.18</v>
      </c>
      <c r="L365">
        <v>31.47</v>
      </c>
      <c r="M365">
        <v>125.88</v>
      </c>
      <c r="N365">
        <v>32</v>
      </c>
      <c r="O365" t="s">
        <v>19</v>
      </c>
      <c r="P365" t="s">
        <v>51</v>
      </c>
    </row>
    <row r="366" spans="1:16">
      <c r="A366">
        <v>100018</v>
      </c>
      <c r="B366" s="4">
        <v>45157</v>
      </c>
      <c r="C366" t="s">
        <v>709</v>
      </c>
      <c r="D366" t="s">
        <v>24</v>
      </c>
      <c r="E366" t="s">
        <v>25</v>
      </c>
      <c r="F366" t="s">
        <v>1237</v>
      </c>
      <c r="G366" t="s">
        <v>18</v>
      </c>
      <c r="H366">
        <v>1</v>
      </c>
      <c r="I366">
        <v>97.25</v>
      </c>
      <c r="J366">
        <v>5</v>
      </c>
      <c r="K366">
        <v>92.39</v>
      </c>
      <c r="L366">
        <v>28.92</v>
      </c>
      <c r="M366">
        <v>28.92</v>
      </c>
      <c r="N366">
        <v>16</v>
      </c>
      <c r="O366" t="s">
        <v>26</v>
      </c>
      <c r="P366" t="s">
        <v>27</v>
      </c>
    </row>
    <row r="367" spans="1:16">
      <c r="A367">
        <v>101117</v>
      </c>
      <c r="B367" s="4">
        <v>45654</v>
      </c>
      <c r="C367" t="s">
        <v>416</v>
      </c>
      <c r="D367" t="s">
        <v>68</v>
      </c>
      <c r="E367" t="s">
        <v>25</v>
      </c>
      <c r="F367" t="s">
        <v>1237</v>
      </c>
      <c r="G367" t="s">
        <v>31</v>
      </c>
      <c r="H367">
        <v>6</v>
      </c>
      <c r="I367">
        <v>234.25</v>
      </c>
      <c r="J367">
        <v>0</v>
      </c>
      <c r="K367">
        <v>1405.5</v>
      </c>
      <c r="L367">
        <v>364.55</v>
      </c>
      <c r="M367">
        <v>2187.3000000000002</v>
      </c>
      <c r="N367">
        <v>46</v>
      </c>
      <c r="O367" t="s">
        <v>19</v>
      </c>
      <c r="P367" t="s">
        <v>20</v>
      </c>
    </row>
    <row r="368" spans="1:16">
      <c r="A368">
        <v>100176</v>
      </c>
      <c r="B368" s="4">
        <v>45698</v>
      </c>
      <c r="C368" t="s">
        <v>708</v>
      </c>
      <c r="D368" t="s">
        <v>73</v>
      </c>
      <c r="E368" t="s">
        <v>25</v>
      </c>
      <c r="F368" t="s">
        <v>1239</v>
      </c>
      <c r="G368" t="s">
        <v>18</v>
      </c>
      <c r="H368">
        <v>3</v>
      </c>
      <c r="I368">
        <v>33.450000000000003</v>
      </c>
      <c r="J368">
        <v>5</v>
      </c>
      <c r="K368">
        <v>95.33</v>
      </c>
      <c r="L368">
        <v>37.57</v>
      </c>
      <c r="M368">
        <v>112.71000000000001</v>
      </c>
      <c r="N368">
        <v>20</v>
      </c>
      <c r="O368" t="s">
        <v>19</v>
      </c>
      <c r="P368" t="s">
        <v>20</v>
      </c>
    </row>
    <row r="369" spans="1:16">
      <c r="A369">
        <v>100741</v>
      </c>
      <c r="B369" s="4">
        <v>45925</v>
      </c>
      <c r="C369" t="s">
        <v>707</v>
      </c>
      <c r="D369" t="s">
        <v>73</v>
      </c>
      <c r="E369" t="s">
        <v>25</v>
      </c>
      <c r="F369" t="s">
        <v>1237</v>
      </c>
      <c r="G369" t="s">
        <v>64</v>
      </c>
      <c r="H369">
        <v>3</v>
      </c>
      <c r="I369">
        <v>36.020000000000003</v>
      </c>
      <c r="J369">
        <v>5</v>
      </c>
      <c r="K369">
        <v>102.66</v>
      </c>
      <c r="L369">
        <v>24.89</v>
      </c>
      <c r="M369">
        <v>74.67</v>
      </c>
      <c r="N369">
        <v>32</v>
      </c>
      <c r="O369" t="s">
        <v>26</v>
      </c>
      <c r="P369" t="s">
        <v>32</v>
      </c>
    </row>
    <row r="370" spans="1:16">
      <c r="A370">
        <v>100395</v>
      </c>
      <c r="B370" s="4">
        <v>45792</v>
      </c>
      <c r="C370" t="s">
        <v>706</v>
      </c>
      <c r="D370" t="s">
        <v>42</v>
      </c>
      <c r="E370" t="s">
        <v>25</v>
      </c>
      <c r="F370" t="s">
        <v>1239</v>
      </c>
      <c r="G370" t="s">
        <v>18</v>
      </c>
      <c r="H370">
        <v>2</v>
      </c>
      <c r="I370">
        <v>167.72</v>
      </c>
      <c r="J370">
        <v>0</v>
      </c>
      <c r="K370">
        <v>335.44</v>
      </c>
      <c r="L370">
        <v>101.32</v>
      </c>
      <c r="M370">
        <v>202.64</v>
      </c>
      <c r="N370">
        <v>21</v>
      </c>
      <c r="O370" t="s">
        <v>26</v>
      </c>
      <c r="P370" t="s">
        <v>35</v>
      </c>
    </row>
    <row r="371" spans="1:16">
      <c r="A371">
        <v>100444</v>
      </c>
      <c r="B371" s="4">
        <v>45404</v>
      </c>
      <c r="C371" t="s">
        <v>705</v>
      </c>
      <c r="D371" t="s">
        <v>68</v>
      </c>
      <c r="E371" t="s">
        <v>25</v>
      </c>
      <c r="F371" t="s">
        <v>1239</v>
      </c>
      <c r="G371" t="s">
        <v>31</v>
      </c>
      <c r="H371">
        <v>1</v>
      </c>
      <c r="I371">
        <v>200.35</v>
      </c>
      <c r="J371">
        <v>10</v>
      </c>
      <c r="K371">
        <v>180.31</v>
      </c>
      <c r="L371">
        <v>65.23</v>
      </c>
      <c r="M371">
        <v>65.23</v>
      </c>
      <c r="N371">
        <v>34</v>
      </c>
      <c r="O371" t="s">
        <v>19</v>
      </c>
      <c r="P371" t="s">
        <v>20</v>
      </c>
    </row>
    <row r="372" spans="1:16">
      <c r="A372">
        <v>100557</v>
      </c>
      <c r="B372" s="4">
        <v>45509</v>
      </c>
      <c r="C372" t="s">
        <v>421</v>
      </c>
      <c r="D372" t="s">
        <v>73</v>
      </c>
      <c r="E372" t="s">
        <v>25</v>
      </c>
      <c r="F372" t="s">
        <v>1237</v>
      </c>
      <c r="G372" t="s">
        <v>31</v>
      </c>
      <c r="H372">
        <v>1</v>
      </c>
      <c r="I372">
        <v>36.42</v>
      </c>
      <c r="J372">
        <v>0</v>
      </c>
      <c r="K372">
        <v>36.42</v>
      </c>
      <c r="L372">
        <v>8.8699999999999992</v>
      </c>
      <c r="M372">
        <v>8.8699999999999992</v>
      </c>
      <c r="N372">
        <v>49</v>
      </c>
      <c r="O372" t="s">
        <v>26</v>
      </c>
      <c r="P372" t="s">
        <v>27</v>
      </c>
    </row>
    <row r="373" spans="1:16">
      <c r="A373">
        <v>101081</v>
      </c>
      <c r="B373" s="4">
        <v>45033</v>
      </c>
      <c r="C373" t="s">
        <v>422</v>
      </c>
      <c r="D373" t="s">
        <v>24</v>
      </c>
      <c r="E373" t="s">
        <v>25</v>
      </c>
      <c r="F373" t="s">
        <v>1237</v>
      </c>
      <c r="G373" t="s">
        <v>18</v>
      </c>
      <c r="H373">
        <v>3</v>
      </c>
      <c r="I373">
        <v>110.01</v>
      </c>
      <c r="J373">
        <v>5</v>
      </c>
      <c r="K373">
        <v>313.52999999999997</v>
      </c>
      <c r="L373">
        <v>123.66</v>
      </c>
      <c r="M373">
        <v>370.98</v>
      </c>
      <c r="N373">
        <v>28</v>
      </c>
      <c r="O373" t="s">
        <v>26</v>
      </c>
      <c r="P373" t="s">
        <v>35</v>
      </c>
    </row>
    <row r="374" spans="1:16">
      <c r="A374">
        <v>100979</v>
      </c>
      <c r="B374" s="4">
        <v>45901</v>
      </c>
      <c r="C374" t="s">
        <v>704</v>
      </c>
      <c r="D374" t="s">
        <v>87</v>
      </c>
      <c r="E374" t="s">
        <v>25</v>
      </c>
      <c r="F374" t="s">
        <v>1239</v>
      </c>
      <c r="G374" t="s">
        <v>31</v>
      </c>
      <c r="H374">
        <v>4</v>
      </c>
      <c r="I374">
        <v>91.51</v>
      </c>
      <c r="J374">
        <v>0</v>
      </c>
      <c r="K374">
        <v>366.04</v>
      </c>
      <c r="L374">
        <v>115.45</v>
      </c>
      <c r="M374">
        <v>461.8</v>
      </c>
      <c r="N374">
        <v>46</v>
      </c>
      <c r="O374" t="s">
        <v>26</v>
      </c>
      <c r="P374" t="s">
        <v>43</v>
      </c>
    </row>
    <row r="375" spans="1:16">
      <c r="A375">
        <v>100383</v>
      </c>
      <c r="B375" s="4">
        <v>45104</v>
      </c>
      <c r="C375" t="s">
        <v>700</v>
      </c>
      <c r="D375" t="s">
        <v>73</v>
      </c>
      <c r="E375" t="s">
        <v>25</v>
      </c>
      <c r="F375" t="s">
        <v>1241</v>
      </c>
      <c r="G375" t="s">
        <v>18</v>
      </c>
      <c r="H375">
        <v>3</v>
      </c>
      <c r="I375">
        <v>37.49</v>
      </c>
      <c r="J375">
        <v>0</v>
      </c>
      <c r="K375">
        <v>112.47</v>
      </c>
      <c r="L375">
        <v>30.79</v>
      </c>
      <c r="M375">
        <v>92.37</v>
      </c>
      <c r="N375">
        <v>31</v>
      </c>
      <c r="O375" t="s">
        <v>26</v>
      </c>
      <c r="P375" t="s">
        <v>81</v>
      </c>
    </row>
    <row r="376" spans="1:16">
      <c r="A376">
        <v>101052</v>
      </c>
      <c r="B376" s="4">
        <v>45817</v>
      </c>
      <c r="C376" t="s">
        <v>699</v>
      </c>
      <c r="D376" t="s">
        <v>100</v>
      </c>
      <c r="E376" t="s">
        <v>25</v>
      </c>
      <c r="F376" t="s">
        <v>1237</v>
      </c>
      <c r="G376" t="s">
        <v>18</v>
      </c>
      <c r="H376">
        <v>3</v>
      </c>
      <c r="I376">
        <v>129.12</v>
      </c>
      <c r="J376">
        <v>0</v>
      </c>
      <c r="K376">
        <v>387.36</v>
      </c>
      <c r="L376">
        <v>119.57</v>
      </c>
      <c r="M376">
        <v>358.71</v>
      </c>
      <c r="N376">
        <v>43</v>
      </c>
      <c r="O376" t="s">
        <v>26</v>
      </c>
      <c r="P376" t="s">
        <v>32</v>
      </c>
    </row>
    <row r="377" spans="1:16">
      <c r="A377">
        <v>100366</v>
      </c>
      <c r="B377" s="4">
        <v>45170</v>
      </c>
      <c r="C377" t="s">
        <v>697</v>
      </c>
      <c r="D377" t="s">
        <v>87</v>
      </c>
      <c r="E377" t="s">
        <v>25</v>
      </c>
      <c r="F377" t="s">
        <v>1237</v>
      </c>
      <c r="G377" t="s">
        <v>48</v>
      </c>
      <c r="H377">
        <v>3</v>
      </c>
      <c r="I377">
        <v>80.47</v>
      </c>
      <c r="J377">
        <v>10</v>
      </c>
      <c r="K377">
        <v>217.27</v>
      </c>
      <c r="L377">
        <v>74.67</v>
      </c>
      <c r="M377">
        <v>224.01</v>
      </c>
      <c r="N377">
        <v>33</v>
      </c>
      <c r="O377" t="s">
        <v>26</v>
      </c>
      <c r="P377" t="s">
        <v>43</v>
      </c>
    </row>
    <row r="378" spans="1:16">
      <c r="A378">
        <v>101013</v>
      </c>
      <c r="B378" s="4">
        <v>45192</v>
      </c>
      <c r="C378" t="s">
        <v>427</v>
      </c>
      <c r="D378" t="s">
        <v>39</v>
      </c>
      <c r="E378" t="s">
        <v>25</v>
      </c>
      <c r="F378" t="s">
        <v>1237</v>
      </c>
      <c r="G378" t="s">
        <v>31</v>
      </c>
      <c r="H378">
        <v>3</v>
      </c>
      <c r="I378">
        <v>196.56</v>
      </c>
      <c r="J378">
        <v>0</v>
      </c>
      <c r="K378">
        <v>589.67999999999995</v>
      </c>
      <c r="L378">
        <v>194.21</v>
      </c>
      <c r="M378">
        <v>582.63</v>
      </c>
      <c r="N378">
        <v>24</v>
      </c>
      <c r="O378" t="s">
        <v>26</v>
      </c>
      <c r="P378" t="s">
        <v>20</v>
      </c>
    </row>
    <row r="379" spans="1:16">
      <c r="A379">
        <v>100993</v>
      </c>
      <c r="B379" s="4">
        <v>45622</v>
      </c>
      <c r="C379" t="s">
        <v>696</v>
      </c>
      <c r="D379" t="s">
        <v>42</v>
      </c>
      <c r="E379" t="s">
        <v>25</v>
      </c>
      <c r="F379" t="s">
        <v>1241</v>
      </c>
      <c r="G379" t="s">
        <v>64</v>
      </c>
      <c r="H379">
        <v>3</v>
      </c>
      <c r="I379">
        <v>155.56</v>
      </c>
      <c r="J379">
        <v>0</v>
      </c>
      <c r="K379">
        <v>466.68</v>
      </c>
      <c r="L379">
        <v>133.65</v>
      </c>
      <c r="M379">
        <v>400.95000000000005</v>
      </c>
      <c r="N379">
        <v>39</v>
      </c>
      <c r="O379" t="s">
        <v>26</v>
      </c>
      <c r="P379" t="s">
        <v>81</v>
      </c>
    </row>
    <row r="380" spans="1:16">
      <c r="A380">
        <v>100752</v>
      </c>
      <c r="B380" s="4">
        <v>45533</v>
      </c>
      <c r="C380" t="s">
        <v>695</v>
      </c>
      <c r="D380" t="s">
        <v>24</v>
      </c>
      <c r="E380" t="s">
        <v>25</v>
      </c>
      <c r="F380" t="s">
        <v>1241</v>
      </c>
      <c r="G380" t="s">
        <v>18</v>
      </c>
      <c r="H380">
        <v>1</v>
      </c>
      <c r="I380">
        <v>91.04</v>
      </c>
      <c r="J380">
        <v>0</v>
      </c>
      <c r="K380">
        <v>91.04</v>
      </c>
      <c r="L380">
        <v>20.12</v>
      </c>
      <c r="M380">
        <v>20.12</v>
      </c>
      <c r="N380">
        <v>47</v>
      </c>
      <c r="O380" t="s">
        <v>26</v>
      </c>
      <c r="P380" t="s">
        <v>81</v>
      </c>
    </row>
    <row r="381" spans="1:16">
      <c r="A381">
        <v>100679</v>
      </c>
      <c r="B381" s="4">
        <v>45210</v>
      </c>
      <c r="C381" t="s">
        <v>694</v>
      </c>
      <c r="D381" t="s">
        <v>70</v>
      </c>
      <c r="E381" t="s">
        <v>25</v>
      </c>
      <c r="F381" t="s">
        <v>1237</v>
      </c>
      <c r="G381" t="s">
        <v>31</v>
      </c>
      <c r="H381">
        <v>2</v>
      </c>
      <c r="I381">
        <v>155.49</v>
      </c>
      <c r="J381">
        <v>20</v>
      </c>
      <c r="K381">
        <v>248.78</v>
      </c>
      <c r="L381">
        <v>62.32</v>
      </c>
      <c r="M381">
        <v>124.64</v>
      </c>
      <c r="N381">
        <v>29</v>
      </c>
      <c r="O381" t="s">
        <v>19</v>
      </c>
      <c r="P381" t="s">
        <v>46</v>
      </c>
    </row>
    <row r="382" spans="1:16">
      <c r="A382">
        <v>100660</v>
      </c>
      <c r="B382" s="4">
        <v>44962</v>
      </c>
      <c r="C382" t="s">
        <v>693</v>
      </c>
      <c r="D382" t="s">
        <v>24</v>
      </c>
      <c r="E382" t="s">
        <v>25</v>
      </c>
      <c r="F382" t="s">
        <v>1237</v>
      </c>
      <c r="G382" t="s">
        <v>31</v>
      </c>
      <c r="H382">
        <v>3</v>
      </c>
      <c r="I382">
        <v>94.21</v>
      </c>
      <c r="J382">
        <v>10</v>
      </c>
      <c r="K382">
        <v>254.37</v>
      </c>
      <c r="L382">
        <v>60.55</v>
      </c>
      <c r="M382">
        <v>181.64999999999998</v>
      </c>
      <c r="N382">
        <v>39</v>
      </c>
      <c r="O382" t="s">
        <v>26</v>
      </c>
      <c r="P382" t="s">
        <v>46</v>
      </c>
    </row>
    <row r="383" spans="1:16">
      <c r="A383">
        <v>101162</v>
      </c>
      <c r="B383" s="4">
        <v>45700</v>
      </c>
      <c r="C383" t="s">
        <v>432</v>
      </c>
      <c r="D383" t="s">
        <v>68</v>
      </c>
      <c r="E383" t="s">
        <v>25</v>
      </c>
      <c r="F383" t="s">
        <v>1241</v>
      </c>
      <c r="G383" t="s">
        <v>48</v>
      </c>
      <c r="H383">
        <v>1</v>
      </c>
      <c r="I383">
        <v>214.74</v>
      </c>
      <c r="J383">
        <v>0</v>
      </c>
      <c r="K383">
        <v>214.74</v>
      </c>
      <c r="L383">
        <v>60.58</v>
      </c>
      <c r="M383">
        <v>60.58</v>
      </c>
      <c r="N383">
        <v>18</v>
      </c>
      <c r="O383" t="s">
        <v>26</v>
      </c>
      <c r="P383" t="s">
        <v>46</v>
      </c>
    </row>
    <row r="384" spans="1:16">
      <c r="A384">
        <v>100528</v>
      </c>
      <c r="B384" s="4">
        <v>45349</v>
      </c>
      <c r="C384" t="s">
        <v>433</v>
      </c>
      <c r="D384" t="s">
        <v>73</v>
      </c>
      <c r="E384" t="s">
        <v>25</v>
      </c>
      <c r="F384" t="s">
        <v>1241</v>
      </c>
      <c r="G384" t="s">
        <v>18</v>
      </c>
      <c r="H384">
        <v>3</v>
      </c>
      <c r="I384">
        <v>38.49</v>
      </c>
      <c r="J384">
        <v>0</v>
      </c>
      <c r="K384">
        <v>115.47</v>
      </c>
      <c r="L384">
        <v>34.28</v>
      </c>
      <c r="M384">
        <v>102.84</v>
      </c>
      <c r="N384">
        <v>25</v>
      </c>
      <c r="O384" t="s">
        <v>19</v>
      </c>
      <c r="P384" t="s">
        <v>46</v>
      </c>
    </row>
    <row r="385" spans="1:16">
      <c r="A385">
        <v>100024</v>
      </c>
      <c r="B385" s="4">
        <v>45919</v>
      </c>
      <c r="C385" t="s">
        <v>692</v>
      </c>
      <c r="D385" t="s">
        <v>24</v>
      </c>
      <c r="E385" t="s">
        <v>25</v>
      </c>
      <c r="F385" t="s">
        <v>1239</v>
      </c>
      <c r="G385" t="s">
        <v>18</v>
      </c>
      <c r="H385">
        <v>3</v>
      </c>
      <c r="I385">
        <v>88.31</v>
      </c>
      <c r="J385">
        <v>0</v>
      </c>
      <c r="K385">
        <v>264.93</v>
      </c>
      <c r="L385">
        <v>80.5</v>
      </c>
      <c r="M385">
        <v>241.5</v>
      </c>
      <c r="N385">
        <v>30</v>
      </c>
      <c r="O385" t="s">
        <v>26</v>
      </c>
      <c r="P385" t="s">
        <v>51</v>
      </c>
    </row>
    <row r="386" spans="1:16">
      <c r="A386">
        <v>100468</v>
      </c>
      <c r="B386" s="4">
        <v>45383</v>
      </c>
      <c r="C386" t="s">
        <v>691</v>
      </c>
      <c r="D386" t="s">
        <v>42</v>
      </c>
      <c r="E386" t="s">
        <v>25</v>
      </c>
      <c r="F386" t="s">
        <v>1240</v>
      </c>
      <c r="G386" t="s">
        <v>31</v>
      </c>
      <c r="H386">
        <v>2</v>
      </c>
      <c r="I386">
        <v>143.91999999999999</v>
      </c>
      <c r="J386">
        <v>20</v>
      </c>
      <c r="K386">
        <v>230.27</v>
      </c>
      <c r="L386">
        <v>78.44</v>
      </c>
      <c r="M386">
        <v>156.88</v>
      </c>
      <c r="N386">
        <v>36</v>
      </c>
      <c r="O386" t="s">
        <v>19</v>
      </c>
      <c r="P386" t="s">
        <v>46</v>
      </c>
    </row>
    <row r="387" spans="1:16">
      <c r="A387">
        <v>100900</v>
      </c>
      <c r="B387" s="4">
        <v>45074</v>
      </c>
      <c r="C387" t="s">
        <v>436</v>
      </c>
      <c r="D387" t="s">
        <v>68</v>
      </c>
      <c r="E387" t="s">
        <v>25</v>
      </c>
      <c r="F387" t="s">
        <v>1241</v>
      </c>
      <c r="G387" t="s">
        <v>18</v>
      </c>
      <c r="H387">
        <v>4</v>
      </c>
      <c r="I387">
        <v>213.99</v>
      </c>
      <c r="J387">
        <v>0</v>
      </c>
      <c r="K387">
        <v>855.96</v>
      </c>
      <c r="L387">
        <v>293.89999999999998</v>
      </c>
      <c r="M387">
        <v>1175.5999999999999</v>
      </c>
      <c r="N387">
        <v>29</v>
      </c>
      <c r="O387" t="s">
        <v>26</v>
      </c>
      <c r="P387" t="s">
        <v>32</v>
      </c>
    </row>
    <row r="388" spans="1:16">
      <c r="A388">
        <v>100060</v>
      </c>
      <c r="B388" s="4">
        <v>45113</v>
      </c>
      <c r="C388" t="s">
        <v>437</v>
      </c>
      <c r="D388" t="s">
        <v>70</v>
      </c>
      <c r="E388" t="s">
        <v>25</v>
      </c>
      <c r="F388" t="s">
        <v>1238</v>
      </c>
      <c r="G388" t="s">
        <v>31</v>
      </c>
      <c r="H388">
        <v>2</v>
      </c>
      <c r="I388">
        <v>172.95</v>
      </c>
      <c r="J388">
        <v>40</v>
      </c>
      <c r="K388">
        <v>207.54</v>
      </c>
      <c r="L388">
        <v>73.319999999999993</v>
      </c>
      <c r="M388">
        <v>146.63999999999999</v>
      </c>
      <c r="N388">
        <v>39</v>
      </c>
      <c r="O388" t="s">
        <v>26</v>
      </c>
      <c r="P388" t="s">
        <v>32</v>
      </c>
    </row>
    <row r="389" spans="1:16">
      <c r="A389">
        <v>100483</v>
      </c>
      <c r="B389" s="4">
        <v>45362</v>
      </c>
      <c r="C389" t="s">
        <v>690</v>
      </c>
      <c r="D389" t="s">
        <v>68</v>
      </c>
      <c r="E389" t="s">
        <v>25</v>
      </c>
      <c r="F389" t="s">
        <v>1237</v>
      </c>
      <c r="G389" t="s">
        <v>48</v>
      </c>
      <c r="H389">
        <v>4</v>
      </c>
      <c r="I389">
        <v>222.32</v>
      </c>
      <c r="J389">
        <v>40</v>
      </c>
      <c r="K389">
        <v>533.57000000000005</v>
      </c>
      <c r="L389">
        <v>153.69999999999999</v>
      </c>
      <c r="M389">
        <v>614.79999999999995</v>
      </c>
      <c r="N389">
        <v>41</v>
      </c>
      <c r="O389" t="s">
        <v>26</v>
      </c>
      <c r="P389" t="s">
        <v>32</v>
      </c>
    </row>
    <row r="390" spans="1:16">
      <c r="A390">
        <v>100092</v>
      </c>
      <c r="B390" s="4">
        <v>45051</v>
      </c>
      <c r="C390" t="s">
        <v>439</v>
      </c>
      <c r="D390" t="s">
        <v>39</v>
      </c>
      <c r="E390" t="s">
        <v>25</v>
      </c>
      <c r="F390" t="s">
        <v>1237</v>
      </c>
      <c r="G390" t="s">
        <v>18</v>
      </c>
      <c r="H390">
        <v>2</v>
      </c>
      <c r="I390">
        <v>180.41</v>
      </c>
      <c r="J390">
        <v>0</v>
      </c>
      <c r="K390">
        <v>360.82</v>
      </c>
      <c r="L390">
        <v>125.72</v>
      </c>
      <c r="M390">
        <v>251.44</v>
      </c>
      <c r="N390">
        <v>42</v>
      </c>
      <c r="O390" t="s">
        <v>26</v>
      </c>
      <c r="P390" t="s">
        <v>81</v>
      </c>
    </row>
    <row r="391" spans="1:16">
      <c r="A391">
        <v>101165</v>
      </c>
      <c r="B391" s="4">
        <v>45436</v>
      </c>
      <c r="C391" t="s">
        <v>689</v>
      </c>
      <c r="D391" t="s">
        <v>39</v>
      </c>
      <c r="E391" t="s">
        <v>25</v>
      </c>
      <c r="F391" t="s">
        <v>1237</v>
      </c>
      <c r="G391" t="s">
        <v>64</v>
      </c>
      <c r="H391">
        <v>3</v>
      </c>
      <c r="I391">
        <v>170.5</v>
      </c>
      <c r="J391">
        <v>20</v>
      </c>
      <c r="K391">
        <v>409.2</v>
      </c>
      <c r="L391">
        <v>112.45</v>
      </c>
      <c r="M391">
        <v>337.35</v>
      </c>
      <c r="N391">
        <v>34</v>
      </c>
      <c r="O391" t="s">
        <v>26</v>
      </c>
      <c r="P391" t="s">
        <v>27</v>
      </c>
    </row>
    <row r="392" spans="1:16">
      <c r="A392">
        <v>100618</v>
      </c>
      <c r="B392" s="4">
        <v>45207</v>
      </c>
      <c r="C392" t="s">
        <v>441</v>
      </c>
      <c r="D392" t="s">
        <v>87</v>
      </c>
      <c r="E392" t="s">
        <v>25</v>
      </c>
      <c r="F392" t="s">
        <v>1237</v>
      </c>
      <c r="G392" t="s">
        <v>31</v>
      </c>
      <c r="H392">
        <v>6</v>
      </c>
      <c r="I392">
        <v>96.78</v>
      </c>
      <c r="J392">
        <v>10</v>
      </c>
      <c r="K392">
        <v>522.61</v>
      </c>
      <c r="L392">
        <v>175.15</v>
      </c>
      <c r="M392">
        <v>1050.9000000000001</v>
      </c>
      <c r="N392">
        <v>26</v>
      </c>
      <c r="O392" t="s">
        <v>26</v>
      </c>
      <c r="P392" t="s">
        <v>43</v>
      </c>
    </row>
    <row r="393" spans="1:16">
      <c r="A393">
        <v>100351</v>
      </c>
      <c r="B393" s="4">
        <v>45884</v>
      </c>
      <c r="C393" t="s">
        <v>442</v>
      </c>
      <c r="D393" t="s">
        <v>42</v>
      </c>
      <c r="E393" t="s">
        <v>25</v>
      </c>
      <c r="F393" t="s">
        <v>1237</v>
      </c>
      <c r="G393" t="s">
        <v>48</v>
      </c>
      <c r="H393">
        <v>4</v>
      </c>
      <c r="I393">
        <v>137.62</v>
      </c>
      <c r="J393">
        <v>20</v>
      </c>
      <c r="K393">
        <v>440.38</v>
      </c>
      <c r="L393">
        <v>108.09</v>
      </c>
      <c r="M393">
        <v>432.36</v>
      </c>
      <c r="N393">
        <v>26</v>
      </c>
      <c r="O393" t="s">
        <v>19</v>
      </c>
      <c r="P393" t="s">
        <v>81</v>
      </c>
    </row>
    <row r="394" spans="1:16">
      <c r="A394">
        <v>100932</v>
      </c>
      <c r="B394" s="4">
        <v>45614</v>
      </c>
      <c r="C394" t="s">
        <v>443</v>
      </c>
      <c r="D394" t="s">
        <v>39</v>
      </c>
      <c r="E394" t="s">
        <v>25</v>
      </c>
      <c r="F394" t="s">
        <v>1241</v>
      </c>
      <c r="G394" t="s">
        <v>18</v>
      </c>
      <c r="H394">
        <v>4</v>
      </c>
      <c r="I394">
        <v>158.80000000000001</v>
      </c>
      <c r="J394">
        <v>0</v>
      </c>
      <c r="K394">
        <v>635.20000000000005</v>
      </c>
      <c r="L394">
        <v>146.93</v>
      </c>
      <c r="M394">
        <v>587.72</v>
      </c>
      <c r="N394">
        <v>20</v>
      </c>
      <c r="O394" t="s">
        <v>26</v>
      </c>
      <c r="P394" t="s">
        <v>81</v>
      </c>
    </row>
    <row r="395" spans="1:16">
      <c r="A395">
        <v>101000</v>
      </c>
      <c r="B395" s="4">
        <v>45809</v>
      </c>
      <c r="C395" t="s">
        <v>688</v>
      </c>
      <c r="D395" t="s">
        <v>100</v>
      </c>
      <c r="E395" t="s">
        <v>25</v>
      </c>
      <c r="F395" t="s">
        <v>1241</v>
      </c>
      <c r="G395" t="s">
        <v>18</v>
      </c>
      <c r="H395">
        <v>3</v>
      </c>
      <c r="I395">
        <v>127.38</v>
      </c>
      <c r="J395">
        <v>0</v>
      </c>
      <c r="K395">
        <v>382.14</v>
      </c>
      <c r="L395">
        <v>91.64</v>
      </c>
      <c r="M395">
        <v>274.92</v>
      </c>
      <c r="N395">
        <v>27</v>
      </c>
      <c r="O395" t="s">
        <v>26</v>
      </c>
      <c r="P395" t="s">
        <v>81</v>
      </c>
    </row>
    <row r="396" spans="1:16">
      <c r="A396">
        <v>100568</v>
      </c>
      <c r="B396" s="4">
        <v>45637</v>
      </c>
      <c r="C396" t="s">
        <v>686</v>
      </c>
      <c r="D396" t="s">
        <v>87</v>
      </c>
      <c r="E396" t="s">
        <v>25</v>
      </c>
      <c r="F396" t="s">
        <v>1238</v>
      </c>
      <c r="G396" t="s">
        <v>18</v>
      </c>
      <c r="H396">
        <v>2</v>
      </c>
      <c r="I396">
        <v>89.15</v>
      </c>
      <c r="J396">
        <v>5</v>
      </c>
      <c r="K396">
        <v>169.38</v>
      </c>
      <c r="L396">
        <v>52.14</v>
      </c>
      <c r="M396">
        <v>104.28</v>
      </c>
      <c r="N396">
        <v>35</v>
      </c>
      <c r="O396" t="s">
        <v>19</v>
      </c>
      <c r="P396" t="s">
        <v>51</v>
      </c>
    </row>
    <row r="397" spans="1:16">
      <c r="A397">
        <v>100848</v>
      </c>
      <c r="B397" s="4">
        <v>45424</v>
      </c>
      <c r="C397" t="s">
        <v>685</v>
      </c>
      <c r="D397" t="s">
        <v>39</v>
      </c>
      <c r="E397" t="s">
        <v>25</v>
      </c>
      <c r="F397" t="s">
        <v>1241</v>
      </c>
      <c r="G397" t="s">
        <v>31</v>
      </c>
      <c r="H397">
        <v>5</v>
      </c>
      <c r="I397">
        <v>199.39</v>
      </c>
      <c r="J397">
        <v>0</v>
      </c>
      <c r="K397">
        <v>996.95</v>
      </c>
      <c r="L397">
        <v>236.22</v>
      </c>
      <c r="M397">
        <v>1181.0999999999999</v>
      </c>
      <c r="N397">
        <v>29</v>
      </c>
      <c r="O397" t="s">
        <v>26</v>
      </c>
      <c r="P397" t="s">
        <v>20</v>
      </c>
    </row>
    <row r="398" spans="1:16">
      <c r="A398">
        <v>100041</v>
      </c>
      <c r="B398" s="4">
        <v>45812</v>
      </c>
      <c r="C398" t="s">
        <v>683</v>
      </c>
      <c r="D398" t="s">
        <v>24</v>
      </c>
      <c r="E398" t="s">
        <v>25</v>
      </c>
      <c r="F398" t="s">
        <v>1241</v>
      </c>
      <c r="G398" t="s">
        <v>31</v>
      </c>
      <c r="H398">
        <v>1</v>
      </c>
      <c r="I398">
        <v>103.28</v>
      </c>
      <c r="J398">
        <v>0</v>
      </c>
      <c r="K398">
        <v>103.28</v>
      </c>
      <c r="L398">
        <v>39.04</v>
      </c>
      <c r="M398">
        <v>39.04</v>
      </c>
      <c r="N398">
        <v>31</v>
      </c>
      <c r="O398" t="s">
        <v>26</v>
      </c>
      <c r="P398" t="s">
        <v>43</v>
      </c>
    </row>
    <row r="399" spans="1:16">
      <c r="A399">
        <v>100732</v>
      </c>
      <c r="B399" s="4">
        <v>45528</v>
      </c>
      <c r="C399" t="s">
        <v>680</v>
      </c>
      <c r="D399" t="s">
        <v>73</v>
      </c>
      <c r="E399" t="s">
        <v>25</v>
      </c>
      <c r="F399" t="s">
        <v>1238</v>
      </c>
      <c r="G399" t="s">
        <v>18</v>
      </c>
      <c r="H399">
        <v>4</v>
      </c>
      <c r="I399">
        <v>32.520000000000003</v>
      </c>
      <c r="J399">
        <v>20</v>
      </c>
      <c r="K399">
        <v>104.06</v>
      </c>
      <c r="L399">
        <v>17.75</v>
      </c>
      <c r="M399">
        <v>71</v>
      </c>
      <c r="N399">
        <v>21</v>
      </c>
      <c r="O399" t="s">
        <v>19</v>
      </c>
      <c r="P399" t="s">
        <v>20</v>
      </c>
    </row>
    <row r="400" spans="1:16">
      <c r="A400">
        <v>100678</v>
      </c>
      <c r="B400" s="4">
        <v>45123</v>
      </c>
      <c r="C400" t="s">
        <v>449</v>
      </c>
      <c r="D400" t="s">
        <v>87</v>
      </c>
      <c r="E400" t="s">
        <v>25</v>
      </c>
      <c r="F400" t="s">
        <v>1240</v>
      </c>
      <c r="G400" t="s">
        <v>31</v>
      </c>
      <c r="H400">
        <v>6</v>
      </c>
      <c r="I400">
        <v>89.06</v>
      </c>
      <c r="J400">
        <v>0</v>
      </c>
      <c r="K400">
        <v>534.36</v>
      </c>
      <c r="L400">
        <v>143.36000000000001</v>
      </c>
      <c r="M400">
        <v>860.16000000000008</v>
      </c>
      <c r="N400">
        <v>29</v>
      </c>
      <c r="O400" t="s">
        <v>19</v>
      </c>
      <c r="P400" t="s">
        <v>51</v>
      </c>
    </row>
    <row r="401" spans="1:16">
      <c r="A401">
        <v>101155</v>
      </c>
      <c r="B401" s="4">
        <v>45908</v>
      </c>
      <c r="C401" t="s">
        <v>679</v>
      </c>
      <c r="D401" t="s">
        <v>87</v>
      </c>
      <c r="E401" t="s">
        <v>25</v>
      </c>
      <c r="F401" t="s">
        <v>1241</v>
      </c>
      <c r="G401" t="s">
        <v>18</v>
      </c>
      <c r="H401">
        <v>2</v>
      </c>
      <c r="I401">
        <v>78.760000000000005</v>
      </c>
      <c r="J401">
        <v>20</v>
      </c>
      <c r="K401">
        <v>126.02</v>
      </c>
      <c r="L401">
        <v>38.71</v>
      </c>
      <c r="M401">
        <v>77.42</v>
      </c>
      <c r="N401">
        <v>36</v>
      </c>
      <c r="O401" t="s">
        <v>26</v>
      </c>
      <c r="P401" t="s">
        <v>27</v>
      </c>
    </row>
    <row r="402" spans="1:16">
      <c r="A402">
        <v>100477</v>
      </c>
      <c r="B402" s="4">
        <v>45386</v>
      </c>
      <c r="C402" t="s">
        <v>451</v>
      </c>
      <c r="D402" t="s">
        <v>100</v>
      </c>
      <c r="E402" t="s">
        <v>25</v>
      </c>
      <c r="F402" t="s">
        <v>1239</v>
      </c>
      <c r="G402" t="s">
        <v>18</v>
      </c>
      <c r="H402">
        <v>2</v>
      </c>
      <c r="I402">
        <v>123.83</v>
      </c>
      <c r="J402">
        <v>0</v>
      </c>
      <c r="K402">
        <v>247.66</v>
      </c>
      <c r="L402">
        <v>75.69</v>
      </c>
      <c r="M402">
        <v>151.38</v>
      </c>
      <c r="N402">
        <v>33</v>
      </c>
      <c r="O402" t="s">
        <v>19</v>
      </c>
      <c r="P402" t="s">
        <v>35</v>
      </c>
    </row>
    <row r="403" spans="1:16">
      <c r="A403">
        <v>101094</v>
      </c>
      <c r="B403" s="4">
        <v>45562</v>
      </c>
      <c r="C403" t="s">
        <v>452</v>
      </c>
      <c r="D403" t="s">
        <v>70</v>
      </c>
      <c r="E403" t="s">
        <v>25</v>
      </c>
      <c r="F403" t="s">
        <v>1241</v>
      </c>
      <c r="G403" t="s">
        <v>48</v>
      </c>
      <c r="H403">
        <v>4</v>
      </c>
      <c r="I403">
        <v>129.38</v>
      </c>
      <c r="J403">
        <v>0</v>
      </c>
      <c r="K403">
        <v>517.52</v>
      </c>
      <c r="L403">
        <v>124.13</v>
      </c>
      <c r="M403">
        <v>496.52</v>
      </c>
      <c r="N403">
        <v>18</v>
      </c>
      <c r="O403" t="s">
        <v>26</v>
      </c>
      <c r="P403" t="s">
        <v>27</v>
      </c>
    </row>
    <row r="404" spans="1:16">
      <c r="A404">
        <v>100182</v>
      </c>
      <c r="B404" s="4">
        <v>45056</v>
      </c>
      <c r="C404" t="s">
        <v>453</v>
      </c>
      <c r="D404" t="s">
        <v>24</v>
      </c>
      <c r="E404" t="s">
        <v>25</v>
      </c>
      <c r="F404" t="s">
        <v>1237</v>
      </c>
      <c r="G404" t="s">
        <v>18</v>
      </c>
      <c r="H404">
        <v>3</v>
      </c>
      <c r="I404">
        <v>99.33</v>
      </c>
      <c r="J404">
        <v>20</v>
      </c>
      <c r="K404">
        <v>238.39</v>
      </c>
      <c r="L404">
        <v>76.849999999999994</v>
      </c>
      <c r="M404">
        <v>230.54999999999998</v>
      </c>
      <c r="N404">
        <v>39</v>
      </c>
      <c r="O404" t="s">
        <v>19</v>
      </c>
      <c r="P404" t="s">
        <v>81</v>
      </c>
    </row>
    <row r="405" spans="1:16">
      <c r="A405">
        <v>101091</v>
      </c>
      <c r="B405" s="4">
        <v>45288</v>
      </c>
      <c r="C405" t="s">
        <v>454</v>
      </c>
      <c r="D405" t="s">
        <v>24</v>
      </c>
      <c r="E405" t="s">
        <v>25</v>
      </c>
      <c r="F405" t="s">
        <v>1237</v>
      </c>
      <c r="G405" t="s">
        <v>31</v>
      </c>
      <c r="H405">
        <v>3</v>
      </c>
      <c r="I405">
        <v>97.04</v>
      </c>
      <c r="J405">
        <v>10</v>
      </c>
      <c r="K405">
        <v>262.01</v>
      </c>
      <c r="L405">
        <v>102.99</v>
      </c>
      <c r="M405">
        <v>308.96999999999997</v>
      </c>
      <c r="N405">
        <v>22</v>
      </c>
      <c r="O405" t="s">
        <v>122</v>
      </c>
      <c r="P405" t="s">
        <v>20</v>
      </c>
    </row>
    <row r="406" spans="1:16">
      <c r="A406">
        <v>100234</v>
      </c>
      <c r="B406" s="4">
        <v>45884</v>
      </c>
      <c r="C406" t="s">
        <v>675</v>
      </c>
      <c r="D406" t="s">
        <v>24</v>
      </c>
      <c r="E406" t="s">
        <v>25</v>
      </c>
      <c r="F406" t="s">
        <v>1238</v>
      </c>
      <c r="G406" t="s">
        <v>18</v>
      </c>
      <c r="H406">
        <v>2</v>
      </c>
      <c r="I406">
        <v>97.39</v>
      </c>
      <c r="J406">
        <v>0</v>
      </c>
      <c r="K406">
        <v>194.78</v>
      </c>
      <c r="L406">
        <v>58.41</v>
      </c>
      <c r="M406">
        <v>116.82</v>
      </c>
      <c r="N406">
        <v>18</v>
      </c>
      <c r="O406" t="s">
        <v>26</v>
      </c>
      <c r="P406" t="s">
        <v>35</v>
      </c>
    </row>
    <row r="407" spans="1:16">
      <c r="A407">
        <v>100587</v>
      </c>
      <c r="B407" s="4">
        <v>45455</v>
      </c>
      <c r="C407" t="s">
        <v>674</v>
      </c>
      <c r="D407" t="s">
        <v>70</v>
      </c>
      <c r="E407" t="s">
        <v>25</v>
      </c>
      <c r="F407" t="s">
        <v>1238</v>
      </c>
      <c r="G407" t="s">
        <v>48</v>
      </c>
      <c r="H407">
        <v>2</v>
      </c>
      <c r="I407">
        <v>159.36000000000001</v>
      </c>
      <c r="J407">
        <v>20</v>
      </c>
      <c r="K407">
        <v>254.98</v>
      </c>
      <c r="L407">
        <v>91.92</v>
      </c>
      <c r="M407">
        <v>183.84</v>
      </c>
      <c r="N407">
        <v>27</v>
      </c>
      <c r="O407" t="s">
        <v>19</v>
      </c>
      <c r="P407" t="s">
        <v>20</v>
      </c>
    </row>
    <row r="408" spans="1:16">
      <c r="A408">
        <v>100701</v>
      </c>
      <c r="B408" s="4">
        <v>45640</v>
      </c>
      <c r="C408" t="s">
        <v>670</v>
      </c>
      <c r="D408" t="s">
        <v>68</v>
      </c>
      <c r="E408" t="s">
        <v>25</v>
      </c>
      <c r="F408" t="s">
        <v>1239</v>
      </c>
      <c r="G408" t="s">
        <v>31</v>
      </c>
      <c r="H408">
        <v>5</v>
      </c>
      <c r="I408">
        <v>246.47</v>
      </c>
      <c r="J408">
        <v>5</v>
      </c>
      <c r="K408">
        <v>1170.73</v>
      </c>
      <c r="L408">
        <v>364.43</v>
      </c>
      <c r="M408">
        <v>1822.15</v>
      </c>
      <c r="N408">
        <v>30</v>
      </c>
      <c r="O408" t="s">
        <v>19</v>
      </c>
      <c r="P408" t="s">
        <v>20</v>
      </c>
    </row>
    <row r="409" spans="1:16">
      <c r="A409">
        <v>100239</v>
      </c>
      <c r="B409" s="4">
        <v>44995</v>
      </c>
      <c r="C409" t="s">
        <v>458</v>
      </c>
      <c r="D409" t="s">
        <v>87</v>
      </c>
      <c r="E409" t="s">
        <v>25</v>
      </c>
      <c r="F409" t="s">
        <v>1238</v>
      </c>
      <c r="G409" t="s">
        <v>31</v>
      </c>
      <c r="H409">
        <v>5</v>
      </c>
      <c r="I409">
        <v>76.77</v>
      </c>
      <c r="J409">
        <v>0</v>
      </c>
      <c r="K409">
        <v>383.85</v>
      </c>
      <c r="L409">
        <v>117.01</v>
      </c>
      <c r="M409">
        <v>585.05000000000007</v>
      </c>
      <c r="N409">
        <v>24</v>
      </c>
      <c r="O409" t="s">
        <v>19</v>
      </c>
      <c r="P409" t="s">
        <v>51</v>
      </c>
    </row>
    <row r="410" spans="1:16">
      <c r="A410">
        <v>100968</v>
      </c>
      <c r="B410" s="4">
        <v>45461</v>
      </c>
      <c r="C410" t="s">
        <v>669</v>
      </c>
      <c r="D410" t="s">
        <v>39</v>
      </c>
      <c r="E410" t="s">
        <v>25</v>
      </c>
      <c r="F410" t="s">
        <v>1238</v>
      </c>
      <c r="G410" t="s">
        <v>64</v>
      </c>
      <c r="H410">
        <v>4</v>
      </c>
      <c r="I410">
        <v>172.75</v>
      </c>
      <c r="J410">
        <v>5</v>
      </c>
      <c r="K410">
        <v>656.45</v>
      </c>
      <c r="L410">
        <v>191.99</v>
      </c>
      <c r="M410">
        <v>767.96</v>
      </c>
      <c r="N410">
        <v>32</v>
      </c>
      <c r="O410" t="s">
        <v>26</v>
      </c>
      <c r="P410" t="s">
        <v>46</v>
      </c>
    </row>
    <row r="411" spans="1:16">
      <c r="A411">
        <v>101058</v>
      </c>
      <c r="B411" s="4">
        <v>45800</v>
      </c>
      <c r="C411" t="s">
        <v>666</v>
      </c>
      <c r="D411" t="s">
        <v>24</v>
      </c>
      <c r="E411" t="s">
        <v>25</v>
      </c>
      <c r="F411" t="s">
        <v>1238</v>
      </c>
      <c r="G411" t="s">
        <v>31</v>
      </c>
      <c r="H411">
        <v>4</v>
      </c>
      <c r="I411">
        <v>88.34</v>
      </c>
      <c r="J411">
        <v>20</v>
      </c>
      <c r="K411">
        <v>282.69</v>
      </c>
      <c r="L411">
        <v>73.42</v>
      </c>
      <c r="M411">
        <v>293.68</v>
      </c>
      <c r="N411">
        <v>29</v>
      </c>
      <c r="O411" t="s">
        <v>26</v>
      </c>
      <c r="P411" t="s">
        <v>35</v>
      </c>
    </row>
    <row r="412" spans="1:16">
      <c r="A412">
        <v>100169</v>
      </c>
      <c r="B412" s="4">
        <v>45235</v>
      </c>
      <c r="C412" t="s">
        <v>665</v>
      </c>
      <c r="D412" t="s">
        <v>87</v>
      </c>
      <c r="E412" t="s">
        <v>25</v>
      </c>
      <c r="F412" t="s">
        <v>1238</v>
      </c>
      <c r="G412" t="s">
        <v>31</v>
      </c>
      <c r="H412">
        <v>2</v>
      </c>
      <c r="I412">
        <v>79.33</v>
      </c>
      <c r="J412">
        <v>10</v>
      </c>
      <c r="K412">
        <v>142.79</v>
      </c>
      <c r="L412">
        <v>45.82</v>
      </c>
      <c r="M412">
        <v>91.64</v>
      </c>
      <c r="N412">
        <v>33</v>
      </c>
      <c r="O412" t="s">
        <v>26</v>
      </c>
      <c r="P412" t="s">
        <v>27</v>
      </c>
    </row>
    <row r="413" spans="1:16">
      <c r="A413">
        <v>100485</v>
      </c>
      <c r="B413" s="4">
        <v>45036</v>
      </c>
      <c r="C413" t="s">
        <v>462</v>
      </c>
      <c r="D413" t="s">
        <v>68</v>
      </c>
      <c r="E413" t="s">
        <v>25</v>
      </c>
      <c r="F413" t="s">
        <v>1237</v>
      </c>
      <c r="G413" t="s">
        <v>18</v>
      </c>
      <c r="H413">
        <v>3</v>
      </c>
      <c r="I413">
        <v>211.95</v>
      </c>
      <c r="J413">
        <v>5</v>
      </c>
      <c r="K413">
        <v>604.05999999999995</v>
      </c>
      <c r="L413">
        <v>172.89</v>
      </c>
      <c r="M413">
        <v>518.66999999999996</v>
      </c>
      <c r="N413">
        <v>37</v>
      </c>
      <c r="O413" t="s">
        <v>26</v>
      </c>
      <c r="P413" t="s">
        <v>43</v>
      </c>
    </row>
    <row r="414" spans="1:16">
      <c r="A414">
        <v>100700</v>
      </c>
      <c r="B414" s="4">
        <v>45016</v>
      </c>
      <c r="C414" t="s">
        <v>463</v>
      </c>
      <c r="D414" t="s">
        <v>24</v>
      </c>
      <c r="E414" t="s">
        <v>25</v>
      </c>
      <c r="F414" t="s">
        <v>1241</v>
      </c>
      <c r="G414" t="s">
        <v>64</v>
      </c>
      <c r="H414">
        <v>5</v>
      </c>
      <c r="I414">
        <v>89.74</v>
      </c>
      <c r="J414">
        <v>5</v>
      </c>
      <c r="K414">
        <v>426.26</v>
      </c>
      <c r="L414">
        <v>85.91</v>
      </c>
      <c r="M414">
        <v>429.54999999999995</v>
      </c>
      <c r="N414">
        <v>28</v>
      </c>
      <c r="O414" t="s">
        <v>26</v>
      </c>
      <c r="P414" t="s">
        <v>35</v>
      </c>
    </row>
    <row r="415" spans="1:16">
      <c r="A415">
        <v>101103</v>
      </c>
      <c r="B415" s="4">
        <v>45769</v>
      </c>
      <c r="C415" t="s">
        <v>664</v>
      </c>
      <c r="D415" t="s">
        <v>39</v>
      </c>
      <c r="E415" t="s">
        <v>25</v>
      </c>
      <c r="F415" t="s">
        <v>1239</v>
      </c>
      <c r="G415" t="s">
        <v>18</v>
      </c>
      <c r="H415">
        <v>5</v>
      </c>
      <c r="I415">
        <v>200.05</v>
      </c>
      <c r="J415">
        <v>0</v>
      </c>
      <c r="K415">
        <v>1000.25</v>
      </c>
      <c r="L415">
        <v>230.51</v>
      </c>
      <c r="M415">
        <v>1152.55</v>
      </c>
      <c r="N415">
        <v>26</v>
      </c>
      <c r="O415" t="s">
        <v>19</v>
      </c>
      <c r="P415" t="s">
        <v>35</v>
      </c>
    </row>
    <row r="416" spans="1:16">
      <c r="A416">
        <v>100193</v>
      </c>
      <c r="B416" s="4">
        <v>45441</v>
      </c>
      <c r="C416" t="s">
        <v>663</v>
      </c>
      <c r="D416" t="s">
        <v>42</v>
      </c>
      <c r="E416" t="s">
        <v>25</v>
      </c>
      <c r="F416" t="s">
        <v>1237</v>
      </c>
      <c r="G416" t="s">
        <v>18</v>
      </c>
      <c r="H416">
        <v>4</v>
      </c>
      <c r="I416">
        <v>172.16</v>
      </c>
      <c r="J416">
        <v>0</v>
      </c>
      <c r="K416">
        <v>688.64</v>
      </c>
      <c r="L416">
        <v>193.87</v>
      </c>
      <c r="M416">
        <v>775.48</v>
      </c>
      <c r="N416">
        <v>31</v>
      </c>
      <c r="O416" t="s">
        <v>19</v>
      </c>
      <c r="P416" t="s">
        <v>43</v>
      </c>
    </row>
    <row r="417" spans="1:16">
      <c r="A417">
        <v>100028</v>
      </c>
      <c r="B417" s="4">
        <v>45536</v>
      </c>
      <c r="C417" t="s">
        <v>661</v>
      </c>
      <c r="D417" t="s">
        <v>24</v>
      </c>
      <c r="E417" t="s">
        <v>25</v>
      </c>
      <c r="F417" t="s">
        <v>1241</v>
      </c>
      <c r="G417" t="s">
        <v>18</v>
      </c>
      <c r="H417">
        <v>5</v>
      </c>
      <c r="I417">
        <v>92.53</v>
      </c>
      <c r="J417">
        <v>0</v>
      </c>
      <c r="K417">
        <v>462.65</v>
      </c>
      <c r="L417">
        <v>134.03</v>
      </c>
      <c r="M417">
        <v>670.15</v>
      </c>
      <c r="N417">
        <v>34</v>
      </c>
      <c r="O417" t="s">
        <v>19</v>
      </c>
      <c r="P417" t="s">
        <v>51</v>
      </c>
    </row>
    <row r="418" spans="1:16">
      <c r="A418">
        <v>100339</v>
      </c>
      <c r="B418" s="4">
        <v>45198</v>
      </c>
      <c r="C418" t="s">
        <v>466</v>
      </c>
      <c r="D418" t="s">
        <v>87</v>
      </c>
      <c r="E418" t="s">
        <v>25</v>
      </c>
      <c r="F418" t="s">
        <v>1237</v>
      </c>
      <c r="G418" t="s">
        <v>18</v>
      </c>
      <c r="H418">
        <v>3</v>
      </c>
      <c r="I418">
        <v>81.069999999999993</v>
      </c>
      <c r="J418">
        <v>10</v>
      </c>
      <c r="K418">
        <v>218.89</v>
      </c>
      <c r="L418">
        <v>63.91</v>
      </c>
      <c r="M418">
        <v>191.73</v>
      </c>
      <c r="N418">
        <v>35</v>
      </c>
      <c r="O418" t="s">
        <v>19</v>
      </c>
      <c r="P418" t="s">
        <v>81</v>
      </c>
    </row>
    <row r="419" spans="1:16">
      <c r="A419">
        <v>100164</v>
      </c>
      <c r="B419" s="4">
        <v>45708</v>
      </c>
      <c r="C419" t="s">
        <v>660</v>
      </c>
      <c r="D419" t="s">
        <v>42</v>
      </c>
      <c r="E419" t="s">
        <v>25</v>
      </c>
      <c r="F419" t="s">
        <v>1239</v>
      </c>
      <c r="G419" t="s">
        <v>18</v>
      </c>
      <c r="H419">
        <v>1</v>
      </c>
      <c r="I419">
        <v>168.43</v>
      </c>
      <c r="J419">
        <v>40</v>
      </c>
      <c r="K419">
        <v>101.06</v>
      </c>
      <c r="L419">
        <v>40.479999999999997</v>
      </c>
      <c r="M419">
        <v>40.479999999999997</v>
      </c>
      <c r="N419">
        <v>16</v>
      </c>
      <c r="O419" t="s">
        <v>26</v>
      </c>
      <c r="P419" t="s">
        <v>51</v>
      </c>
    </row>
    <row r="420" spans="1:16">
      <c r="A420">
        <v>100551</v>
      </c>
      <c r="B420" s="4">
        <v>45738</v>
      </c>
      <c r="C420" t="s">
        <v>468</v>
      </c>
      <c r="D420" t="s">
        <v>42</v>
      </c>
      <c r="E420" t="s">
        <v>25</v>
      </c>
      <c r="F420" t="s">
        <v>1238</v>
      </c>
      <c r="G420" t="s">
        <v>31</v>
      </c>
      <c r="H420">
        <v>5</v>
      </c>
      <c r="I420">
        <v>160.13</v>
      </c>
      <c r="J420">
        <v>0</v>
      </c>
      <c r="K420">
        <v>800.65</v>
      </c>
      <c r="L420">
        <v>202.21</v>
      </c>
      <c r="M420">
        <v>1011.0500000000001</v>
      </c>
      <c r="N420">
        <v>43</v>
      </c>
      <c r="O420" t="s">
        <v>26</v>
      </c>
      <c r="P420" t="s">
        <v>46</v>
      </c>
    </row>
    <row r="421" spans="1:16">
      <c r="A421">
        <v>100495</v>
      </c>
      <c r="B421" s="4">
        <v>45158</v>
      </c>
      <c r="C421" t="s">
        <v>657</v>
      </c>
      <c r="D421" t="s">
        <v>100</v>
      </c>
      <c r="E421" t="s">
        <v>25</v>
      </c>
      <c r="F421" t="s">
        <v>1238</v>
      </c>
      <c r="G421" t="s">
        <v>18</v>
      </c>
      <c r="H421">
        <v>4</v>
      </c>
      <c r="I421">
        <v>122.85</v>
      </c>
      <c r="J421">
        <v>0</v>
      </c>
      <c r="K421">
        <v>491.4</v>
      </c>
      <c r="L421">
        <v>152.88</v>
      </c>
      <c r="M421">
        <v>611.52</v>
      </c>
      <c r="N421">
        <v>26</v>
      </c>
      <c r="O421" t="s">
        <v>26</v>
      </c>
      <c r="P421" t="s">
        <v>35</v>
      </c>
    </row>
    <row r="422" spans="1:16">
      <c r="A422">
        <v>100918</v>
      </c>
      <c r="B422" s="4">
        <v>45102</v>
      </c>
      <c r="C422" t="s">
        <v>656</v>
      </c>
      <c r="D422" t="s">
        <v>87</v>
      </c>
      <c r="E422" t="s">
        <v>25</v>
      </c>
      <c r="F422" t="s">
        <v>1241</v>
      </c>
      <c r="G422" t="s">
        <v>48</v>
      </c>
      <c r="H422">
        <v>3</v>
      </c>
      <c r="I422">
        <v>73.52</v>
      </c>
      <c r="J422">
        <v>0</v>
      </c>
      <c r="K422">
        <v>220.56</v>
      </c>
      <c r="L422">
        <v>53.82</v>
      </c>
      <c r="M422">
        <v>161.46</v>
      </c>
      <c r="N422">
        <v>18</v>
      </c>
      <c r="O422" t="s">
        <v>19</v>
      </c>
      <c r="P422" t="s">
        <v>81</v>
      </c>
    </row>
    <row r="423" spans="1:16">
      <c r="A423">
        <v>100665</v>
      </c>
      <c r="B423" s="4">
        <v>45494</v>
      </c>
      <c r="C423" t="s">
        <v>655</v>
      </c>
      <c r="D423" t="s">
        <v>70</v>
      </c>
      <c r="E423" t="s">
        <v>25</v>
      </c>
      <c r="F423" t="s">
        <v>1237</v>
      </c>
      <c r="G423" t="s">
        <v>18</v>
      </c>
      <c r="H423">
        <v>2</v>
      </c>
      <c r="I423">
        <v>151.47999999999999</v>
      </c>
      <c r="J423">
        <v>0</v>
      </c>
      <c r="K423">
        <v>302.95999999999998</v>
      </c>
      <c r="L423">
        <v>94.41</v>
      </c>
      <c r="M423">
        <v>188.82</v>
      </c>
      <c r="N423">
        <v>23</v>
      </c>
      <c r="O423" t="s">
        <v>26</v>
      </c>
      <c r="P423" t="s">
        <v>27</v>
      </c>
    </row>
    <row r="424" spans="1:16">
      <c r="A424">
        <v>101019</v>
      </c>
      <c r="B424" s="4">
        <v>45859</v>
      </c>
      <c r="C424" t="s">
        <v>653</v>
      </c>
      <c r="D424" t="s">
        <v>39</v>
      </c>
      <c r="E424" t="s">
        <v>25</v>
      </c>
      <c r="F424" t="s">
        <v>1237</v>
      </c>
      <c r="G424" t="s">
        <v>31</v>
      </c>
      <c r="H424">
        <v>2</v>
      </c>
      <c r="I424">
        <v>166.26</v>
      </c>
      <c r="J424">
        <v>0</v>
      </c>
      <c r="K424">
        <v>332.52</v>
      </c>
      <c r="L424">
        <v>103.33</v>
      </c>
      <c r="M424">
        <v>206.66</v>
      </c>
      <c r="N424">
        <v>36</v>
      </c>
      <c r="O424" t="s">
        <v>26</v>
      </c>
      <c r="P424" t="s">
        <v>81</v>
      </c>
    </row>
    <row r="425" spans="1:16">
      <c r="A425">
        <v>100706</v>
      </c>
      <c r="B425" s="4">
        <v>45786</v>
      </c>
      <c r="C425" t="s">
        <v>473</v>
      </c>
      <c r="D425" t="s">
        <v>68</v>
      </c>
      <c r="E425" t="s">
        <v>25</v>
      </c>
      <c r="F425" t="s">
        <v>1241</v>
      </c>
      <c r="G425" t="s">
        <v>64</v>
      </c>
      <c r="H425">
        <v>2</v>
      </c>
      <c r="I425">
        <v>203.8</v>
      </c>
      <c r="J425">
        <v>20</v>
      </c>
      <c r="K425">
        <v>326.08</v>
      </c>
      <c r="L425">
        <v>89.79</v>
      </c>
      <c r="M425">
        <v>179.58</v>
      </c>
      <c r="N425">
        <v>22</v>
      </c>
      <c r="O425" t="s">
        <v>19</v>
      </c>
      <c r="P425" t="s">
        <v>46</v>
      </c>
    </row>
    <row r="426" spans="1:16">
      <c r="A426">
        <v>100326</v>
      </c>
      <c r="B426" s="4">
        <v>45188</v>
      </c>
      <c r="C426" t="s">
        <v>652</v>
      </c>
      <c r="D426" t="s">
        <v>87</v>
      </c>
      <c r="E426" t="s">
        <v>25</v>
      </c>
      <c r="F426" t="s">
        <v>1237</v>
      </c>
      <c r="G426" t="s">
        <v>18</v>
      </c>
      <c r="H426">
        <v>3</v>
      </c>
      <c r="I426">
        <v>91.04</v>
      </c>
      <c r="J426">
        <v>0</v>
      </c>
      <c r="K426">
        <v>273.12</v>
      </c>
      <c r="L426">
        <v>74.739999999999995</v>
      </c>
      <c r="M426">
        <v>224.21999999999997</v>
      </c>
      <c r="N426">
        <v>32</v>
      </c>
      <c r="O426" t="s">
        <v>19</v>
      </c>
      <c r="P426" t="s">
        <v>81</v>
      </c>
    </row>
    <row r="427" spans="1:16">
      <c r="A427">
        <v>101132</v>
      </c>
      <c r="B427" s="4">
        <v>45837</v>
      </c>
      <c r="C427" t="s">
        <v>651</v>
      </c>
      <c r="D427" t="s">
        <v>70</v>
      </c>
      <c r="E427" t="s">
        <v>25</v>
      </c>
      <c r="F427" t="s">
        <v>1241</v>
      </c>
      <c r="G427" t="s">
        <v>18</v>
      </c>
      <c r="H427">
        <v>2</v>
      </c>
      <c r="I427">
        <v>150.02000000000001</v>
      </c>
      <c r="J427">
        <v>0</v>
      </c>
      <c r="K427">
        <v>300.04000000000002</v>
      </c>
      <c r="L427">
        <v>113.01</v>
      </c>
      <c r="M427">
        <v>226.02</v>
      </c>
      <c r="N427">
        <v>41</v>
      </c>
      <c r="O427" t="s">
        <v>19</v>
      </c>
      <c r="P427" t="s">
        <v>43</v>
      </c>
    </row>
    <row r="428" spans="1:16">
      <c r="A428">
        <v>100768</v>
      </c>
      <c r="B428" s="4">
        <v>45150</v>
      </c>
      <c r="C428" t="s">
        <v>476</v>
      </c>
      <c r="D428" t="s">
        <v>68</v>
      </c>
      <c r="E428" t="s">
        <v>25</v>
      </c>
      <c r="F428" t="s">
        <v>1241</v>
      </c>
      <c r="G428" t="s">
        <v>18</v>
      </c>
      <c r="H428">
        <v>3</v>
      </c>
      <c r="I428">
        <v>238.57</v>
      </c>
      <c r="J428">
        <v>10</v>
      </c>
      <c r="K428">
        <v>644.14</v>
      </c>
      <c r="L428">
        <v>187.22</v>
      </c>
      <c r="M428">
        <v>561.66</v>
      </c>
      <c r="N428">
        <v>39</v>
      </c>
      <c r="O428" t="s">
        <v>26</v>
      </c>
      <c r="P428" t="s">
        <v>81</v>
      </c>
    </row>
    <row r="429" spans="1:16">
      <c r="A429">
        <v>100869</v>
      </c>
      <c r="B429" s="4">
        <v>44931</v>
      </c>
      <c r="C429" t="s">
        <v>477</v>
      </c>
      <c r="D429" t="s">
        <v>39</v>
      </c>
      <c r="E429" t="s">
        <v>25</v>
      </c>
      <c r="F429" t="s">
        <v>1238</v>
      </c>
      <c r="G429" t="s">
        <v>48</v>
      </c>
      <c r="H429">
        <v>4</v>
      </c>
      <c r="I429">
        <v>179.15</v>
      </c>
      <c r="J429">
        <v>0</v>
      </c>
      <c r="K429">
        <v>716.6</v>
      </c>
      <c r="L429">
        <v>314.19</v>
      </c>
      <c r="M429">
        <v>1256.76</v>
      </c>
      <c r="N429">
        <v>25</v>
      </c>
      <c r="O429" t="s">
        <v>19</v>
      </c>
      <c r="P429" t="s">
        <v>32</v>
      </c>
    </row>
    <row r="430" spans="1:16">
      <c r="A430">
        <v>100761</v>
      </c>
      <c r="B430" s="4">
        <v>45807</v>
      </c>
      <c r="C430" t="s">
        <v>478</v>
      </c>
      <c r="D430" t="s">
        <v>24</v>
      </c>
      <c r="E430" t="s">
        <v>25</v>
      </c>
      <c r="F430" t="s">
        <v>1239</v>
      </c>
      <c r="G430" t="s">
        <v>18</v>
      </c>
      <c r="H430">
        <v>3</v>
      </c>
      <c r="I430">
        <v>107.31</v>
      </c>
      <c r="J430">
        <v>0</v>
      </c>
      <c r="K430">
        <v>321.93</v>
      </c>
      <c r="L430">
        <v>90.73</v>
      </c>
      <c r="M430">
        <v>272.19</v>
      </c>
      <c r="N430">
        <v>16</v>
      </c>
      <c r="O430" t="s">
        <v>26</v>
      </c>
      <c r="P430" t="s">
        <v>35</v>
      </c>
    </row>
    <row r="431" spans="1:16">
      <c r="A431">
        <v>100450</v>
      </c>
      <c r="B431" s="4">
        <v>45568</v>
      </c>
      <c r="C431" t="s">
        <v>638</v>
      </c>
      <c r="D431" t="s">
        <v>24</v>
      </c>
      <c r="E431" t="s">
        <v>25</v>
      </c>
      <c r="F431" t="s">
        <v>1237</v>
      </c>
      <c r="G431" t="s">
        <v>18</v>
      </c>
      <c r="H431">
        <v>1</v>
      </c>
      <c r="I431">
        <v>89.51</v>
      </c>
      <c r="J431">
        <v>20</v>
      </c>
      <c r="K431">
        <v>71.61</v>
      </c>
      <c r="L431">
        <v>22.12</v>
      </c>
      <c r="M431">
        <v>22.12</v>
      </c>
      <c r="N431">
        <v>29</v>
      </c>
      <c r="O431" t="s">
        <v>19</v>
      </c>
      <c r="P431" t="s">
        <v>27</v>
      </c>
    </row>
    <row r="432" spans="1:16">
      <c r="A432">
        <v>100475</v>
      </c>
      <c r="B432" s="4">
        <v>45176</v>
      </c>
      <c r="C432" t="s">
        <v>594</v>
      </c>
      <c r="D432" t="s">
        <v>70</v>
      </c>
      <c r="E432" t="s">
        <v>25</v>
      </c>
      <c r="F432" t="s">
        <v>1237</v>
      </c>
      <c r="G432" t="s">
        <v>18</v>
      </c>
      <c r="H432">
        <v>2</v>
      </c>
      <c r="I432">
        <v>161.02000000000001</v>
      </c>
      <c r="J432">
        <v>10</v>
      </c>
      <c r="K432">
        <v>289.83999999999997</v>
      </c>
      <c r="L432">
        <v>76.67</v>
      </c>
      <c r="M432">
        <v>153.34</v>
      </c>
      <c r="N432">
        <v>19</v>
      </c>
      <c r="O432" t="s">
        <v>26</v>
      </c>
      <c r="P432" t="s">
        <v>35</v>
      </c>
    </row>
    <row r="433" spans="1:16">
      <c r="A433">
        <v>100165</v>
      </c>
      <c r="B433" s="4">
        <v>45879</v>
      </c>
      <c r="C433" t="s">
        <v>481</v>
      </c>
      <c r="D433" t="s">
        <v>39</v>
      </c>
      <c r="E433" t="s">
        <v>25</v>
      </c>
      <c r="F433" t="s">
        <v>1238</v>
      </c>
      <c r="G433" t="s">
        <v>18</v>
      </c>
      <c r="H433">
        <v>3</v>
      </c>
      <c r="I433">
        <v>161.88999999999999</v>
      </c>
      <c r="J433">
        <v>5</v>
      </c>
      <c r="K433">
        <v>461.39</v>
      </c>
      <c r="L433">
        <v>126.48</v>
      </c>
      <c r="M433">
        <v>379.44</v>
      </c>
      <c r="N433">
        <v>31</v>
      </c>
      <c r="O433" t="s">
        <v>26</v>
      </c>
      <c r="P433" t="s">
        <v>27</v>
      </c>
    </row>
    <row r="434" spans="1:16">
      <c r="A434">
        <v>100248</v>
      </c>
      <c r="B434" s="4">
        <v>45237</v>
      </c>
      <c r="C434" t="s">
        <v>482</v>
      </c>
      <c r="D434" t="s">
        <v>39</v>
      </c>
      <c r="E434" t="s">
        <v>25</v>
      </c>
      <c r="F434" t="s">
        <v>1241</v>
      </c>
      <c r="G434" t="s">
        <v>31</v>
      </c>
      <c r="H434">
        <v>2</v>
      </c>
      <c r="I434">
        <v>200.02</v>
      </c>
      <c r="J434">
        <v>20</v>
      </c>
      <c r="K434">
        <v>320.02999999999997</v>
      </c>
      <c r="L434">
        <v>104.93</v>
      </c>
      <c r="M434">
        <v>209.86</v>
      </c>
      <c r="N434">
        <v>21</v>
      </c>
      <c r="O434" t="s">
        <v>19</v>
      </c>
      <c r="P434" t="s">
        <v>46</v>
      </c>
    </row>
    <row r="435" spans="1:16">
      <c r="A435">
        <v>101133</v>
      </c>
      <c r="B435" s="4">
        <v>45044</v>
      </c>
      <c r="C435" t="s">
        <v>634</v>
      </c>
      <c r="D435" t="s">
        <v>42</v>
      </c>
      <c r="E435" t="s">
        <v>25</v>
      </c>
      <c r="F435" t="s">
        <v>1238</v>
      </c>
      <c r="G435" t="s">
        <v>18</v>
      </c>
      <c r="H435">
        <v>4</v>
      </c>
      <c r="I435">
        <v>173.06</v>
      </c>
      <c r="J435">
        <v>0</v>
      </c>
      <c r="K435">
        <v>692.24</v>
      </c>
      <c r="L435">
        <v>210.25</v>
      </c>
      <c r="M435">
        <v>841</v>
      </c>
      <c r="N435">
        <v>38</v>
      </c>
      <c r="O435" t="s">
        <v>26</v>
      </c>
      <c r="P435" t="s">
        <v>51</v>
      </c>
    </row>
    <row r="436" spans="1:16">
      <c r="A436">
        <v>100447</v>
      </c>
      <c r="B436" s="4">
        <v>45501</v>
      </c>
      <c r="C436" t="s">
        <v>484</v>
      </c>
      <c r="D436" t="s">
        <v>39</v>
      </c>
      <c r="E436" t="s">
        <v>25</v>
      </c>
      <c r="F436" t="s">
        <v>1238</v>
      </c>
      <c r="G436" t="s">
        <v>18</v>
      </c>
      <c r="H436">
        <v>2</v>
      </c>
      <c r="I436">
        <v>181.12</v>
      </c>
      <c r="J436">
        <v>10</v>
      </c>
      <c r="K436">
        <v>326.02</v>
      </c>
      <c r="L436">
        <v>122.48</v>
      </c>
      <c r="M436">
        <v>244.96</v>
      </c>
      <c r="N436">
        <v>25</v>
      </c>
      <c r="O436" t="s">
        <v>19</v>
      </c>
      <c r="P436" t="s">
        <v>51</v>
      </c>
    </row>
    <row r="437" spans="1:16">
      <c r="A437">
        <v>100000</v>
      </c>
      <c r="B437" s="4">
        <v>45581</v>
      </c>
      <c r="C437" t="s">
        <v>632</v>
      </c>
      <c r="D437" t="s">
        <v>87</v>
      </c>
      <c r="E437" t="s">
        <v>25</v>
      </c>
      <c r="F437" t="s">
        <v>1241</v>
      </c>
      <c r="G437" t="s">
        <v>18</v>
      </c>
      <c r="H437">
        <v>3</v>
      </c>
      <c r="I437">
        <v>88.38</v>
      </c>
      <c r="J437">
        <v>10</v>
      </c>
      <c r="K437">
        <v>238.63</v>
      </c>
      <c r="L437">
        <v>69.94</v>
      </c>
      <c r="M437">
        <v>209.82</v>
      </c>
      <c r="N437">
        <v>32</v>
      </c>
      <c r="O437" t="s">
        <v>19</v>
      </c>
      <c r="P437" t="s">
        <v>27</v>
      </c>
    </row>
    <row r="438" spans="1:16">
      <c r="A438">
        <v>100334</v>
      </c>
      <c r="B438" s="4">
        <v>45911</v>
      </c>
      <c r="C438" t="s">
        <v>486</v>
      </c>
      <c r="D438" t="s">
        <v>70</v>
      </c>
      <c r="E438" t="s">
        <v>25</v>
      </c>
      <c r="F438" t="s">
        <v>1241</v>
      </c>
      <c r="G438" t="s">
        <v>18</v>
      </c>
      <c r="H438">
        <v>1</v>
      </c>
      <c r="I438">
        <v>150.91</v>
      </c>
      <c r="J438">
        <v>0</v>
      </c>
      <c r="K438">
        <v>150.91</v>
      </c>
      <c r="L438">
        <v>33.19</v>
      </c>
      <c r="M438">
        <v>33.19</v>
      </c>
      <c r="N438">
        <v>27</v>
      </c>
      <c r="O438" t="s">
        <v>26</v>
      </c>
      <c r="P438" t="s">
        <v>51</v>
      </c>
    </row>
    <row r="439" spans="1:16">
      <c r="A439">
        <v>100285</v>
      </c>
      <c r="B439" s="4">
        <v>45234</v>
      </c>
      <c r="C439" t="s">
        <v>487</v>
      </c>
      <c r="D439" t="s">
        <v>70</v>
      </c>
      <c r="E439" t="s">
        <v>25</v>
      </c>
      <c r="F439" t="s">
        <v>1241</v>
      </c>
      <c r="G439" t="s">
        <v>48</v>
      </c>
      <c r="H439">
        <v>3</v>
      </c>
      <c r="I439">
        <v>157.11000000000001</v>
      </c>
      <c r="J439">
        <v>0</v>
      </c>
      <c r="K439">
        <v>471.33</v>
      </c>
      <c r="L439">
        <v>167.7</v>
      </c>
      <c r="M439">
        <v>503.09999999999997</v>
      </c>
      <c r="N439">
        <v>24</v>
      </c>
      <c r="O439" t="s">
        <v>19</v>
      </c>
      <c r="P439" t="s">
        <v>35</v>
      </c>
    </row>
    <row r="440" spans="1:16">
      <c r="A440">
        <v>100386</v>
      </c>
      <c r="B440" s="4">
        <v>45693</v>
      </c>
      <c r="C440" t="s">
        <v>631</v>
      </c>
      <c r="D440" t="s">
        <v>24</v>
      </c>
      <c r="E440" t="s">
        <v>25</v>
      </c>
      <c r="F440" t="s">
        <v>1238</v>
      </c>
      <c r="G440" t="s">
        <v>18</v>
      </c>
      <c r="H440">
        <v>2</v>
      </c>
      <c r="I440">
        <v>90</v>
      </c>
      <c r="J440">
        <v>5</v>
      </c>
      <c r="K440">
        <v>171</v>
      </c>
      <c r="L440">
        <v>48.7</v>
      </c>
      <c r="M440">
        <v>97.4</v>
      </c>
      <c r="N440">
        <v>26</v>
      </c>
      <c r="O440" t="s">
        <v>19</v>
      </c>
      <c r="P440" t="s">
        <v>51</v>
      </c>
    </row>
    <row r="441" spans="1:16">
      <c r="A441">
        <v>100876</v>
      </c>
      <c r="B441" s="4">
        <v>45690</v>
      </c>
      <c r="C441" t="s">
        <v>627</v>
      </c>
      <c r="D441" t="s">
        <v>24</v>
      </c>
      <c r="E441" t="s">
        <v>25</v>
      </c>
      <c r="F441" t="s">
        <v>1240</v>
      </c>
      <c r="G441" t="s">
        <v>48</v>
      </c>
      <c r="H441">
        <v>2</v>
      </c>
      <c r="I441">
        <v>101.82</v>
      </c>
      <c r="J441">
        <v>10</v>
      </c>
      <c r="K441">
        <v>183.28</v>
      </c>
      <c r="L441">
        <v>65.34</v>
      </c>
      <c r="M441">
        <v>130.68</v>
      </c>
      <c r="N441">
        <v>24</v>
      </c>
      <c r="O441" t="s">
        <v>19</v>
      </c>
      <c r="P441" t="s">
        <v>20</v>
      </c>
    </row>
    <row r="442" spans="1:16">
      <c r="A442">
        <v>100707</v>
      </c>
      <c r="B442" s="4">
        <v>45115</v>
      </c>
      <c r="C442" t="s">
        <v>620</v>
      </c>
      <c r="D442" t="s">
        <v>73</v>
      </c>
      <c r="E442" t="s">
        <v>25</v>
      </c>
      <c r="F442" t="s">
        <v>1241</v>
      </c>
      <c r="G442" t="s">
        <v>18</v>
      </c>
      <c r="H442">
        <v>1</v>
      </c>
      <c r="I442">
        <v>35.89</v>
      </c>
      <c r="J442">
        <v>0</v>
      </c>
      <c r="K442">
        <v>35.89</v>
      </c>
      <c r="L442">
        <v>11.09</v>
      </c>
      <c r="M442">
        <v>11.09</v>
      </c>
      <c r="N442">
        <v>40</v>
      </c>
      <c r="O442" t="s">
        <v>26</v>
      </c>
      <c r="P442" t="s">
        <v>43</v>
      </c>
    </row>
    <row r="443" spans="1:16">
      <c r="A443">
        <v>101036</v>
      </c>
      <c r="B443" s="4">
        <v>45417</v>
      </c>
      <c r="C443" t="s">
        <v>491</v>
      </c>
      <c r="D443" t="s">
        <v>70</v>
      </c>
      <c r="E443" t="s">
        <v>25</v>
      </c>
      <c r="F443" t="s">
        <v>1237</v>
      </c>
      <c r="G443" t="s">
        <v>18</v>
      </c>
      <c r="H443">
        <v>5</v>
      </c>
      <c r="I443">
        <v>165.79</v>
      </c>
      <c r="J443">
        <v>0</v>
      </c>
      <c r="K443">
        <v>828.95</v>
      </c>
      <c r="L443">
        <v>257.41000000000003</v>
      </c>
      <c r="M443">
        <v>1287.0500000000002</v>
      </c>
      <c r="N443">
        <v>29</v>
      </c>
      <c r="O443" t="s">
        <v>26</v>
      </c>
      <c r="P443" t="s">
        <v>20</v>
      </c>
    </row>
    <row r="444" spans="1:16">
      <c r="A444">
        <v>100591</v>
      </c>
      <c r="B444" s="4">
        <v>45020</v>
      </c>
      <c r="C444" t="s">
        <v>619</v>
      </c>
      <c r="D444" t="s">
        <v>87</v>
      </c>
      <c r="E444" t="s">
        <v>25</v>
      </c>
      <c r="F444" t="s">
        <v>1237</v>
      </c>
      <c r="G444" t="s">
        <v>18</v>
      </c>
      <c r="H444">
        <v>4</v>
      </c>
      <c r="I444">
        <v>85.74</v>
      </c>
      <c r="J444">
        <v>0</v>
      </c>
      <c r="K444">
        <v>342.96</v>
      </c>
      <c r="L444">
        <v>95.02</v>
      </c>
      <c r="M444">
        <v>380.08</v>
      </c>
      <c r="N444">
        <v>24</v>
      </c>
      <c r="O444" t="s">
        <v>19</v>
      </c>
      <c r="P444" t="s">
        <v>35</v>
      </c>
    </row>
    <row r="445" spans="1:16">
      <c r="A445">
        <v>100148</v>
      </c>
      <c r="B445" s="4">
        <v>45377</v>
      </c>
      <c r="C445" t="s">
        <v>618</v>
      </c>
      <c r="D445" t="s">
        <v>24</v>
      </c>
      <c r="E445" t="s">
        <v>25</v>
      </c>
      <c r="F445" t="s">
        <v>1237</v>
      </c>
      <c r="G445" t="s">
        <v>31</v>
      </c>
      <c r="H445">
        <v>4</v>
      </c>
      <c r="I445">
        <v>99.25</v>
      </c>
      <c r="J445">
        <v>5</v>
      </c>
      <c r="K445">
        <v>377.15</v>
      </c>
      <c r="L445">
        <v>133.53</v>
      </c>
      <c r="M445">
        <v>534.12</v>
      </c>
      <c r="N445">
        <v>33</v>
      </c>
      <c r="O445" t="s">
        <v>19</v>
      </c>
      <c r="P445" t="s">
        <v>43</v>
      </c>
    </row>
    <row r="446" spans="1:16">
      <c r="A446">
        <v>100944</v>
      </c>
      <c r="B446" s="4">
        <v>45311</v>
      </c>
      <c r="C446" t="s">
        <v>494</v>
      </c>
      <c r="D446" t="s">
        <v>73</v>
      </c>
      <c r="E446" t="s">
        <v>25</v>
      </c>
      <c r="F446" t="s">
        <v>1241</v>
      </c>
      <c r="G446" t="s">
        <v>31</v>
      </c>
      <c r="H446">
        <v>3</v>
      </c>
      <c r="I446">
        <v>37.57</v>
      </c>
      <c r="J446">
        <v>0</v>
      </c>
      <c r="K446">
        <v>112.71</v>
      </c>
      <c r="L446">
        <v>45.41</v>
      </c>
      <c r="M446">
        <v>136.22999999999999</v>
      </c>
      <c r="N446">
        <v>28</v>
      </c>
      <c r="O446" t="s">
        <v>122</v>
      </c>
      <c r="P446" t="s">
        <v>46</v>
      </c>
    </row>
    <row r="447" spans="1:16">
      <c r="A447">
        <v>100613</v>
      </c>
      <c r="B447" s="4">
        <v>45445</v>
      </c>
      <c r="C447" t="s">
        <v>495</v>
      </c>
      <c r="D447" t="s">
        <v>39</v>
      </c>
      <c r="E447" t="s">
        <v>25</v>
      </c>
      <c r="F447" t="s">
        <v>1239</v>
      </c>
      <c r="G447" t="s">
        <v>18</v>
      </c>
      <c r="H447">
        <v>1</v>
      </c>
      <c r="I447">
        <v>169.09</v>
      </c>
      <c r="J447">
        <v>0</v>
      </c>
      <c r="K447">
        <v>169.09</v>
      </c>
      <c r="L447">
        <v>60.62</v>
      </c>
      <c r="M447">
        <v>60.62</v>
      </c>
      <c r="N447">
        <v>31</v>
      </c>
      <c r="O447" t="s">
        <v>26</v>
      </c>
      <c r="P447" t="s">
        <v>46</v>
      </c>
    </row>
    <row r="448" spans="1:16">
      <c r="A448">
        <v>100228</v>
      </c>
      <c r="B448" s="4">
        <v>45303</v>
      </c>
      <c r="C448" t="s">
        <v>614</v>
      </c>
      <c r="D448" t="s">
        <v>100</v>
      </c>
      <c r="E448" t="s">
        <v>25</v>
      </c>
      <c r="F448" t="s">
        <v>1240</v>
      </c>
      <c r="G448" t="s">
        <v>31</v>
      </c>
      <c r="H448">
        <v>3</v>
      </c>
      <c r="I448">
        <v>142.54</v>
      </c>
      <c r="J448">
        <v>20</v>
      </c>
      <c r="K448">
        <v>342.1</v>
      </c>
      <c r="L448">
        <v>109.2</v>
      </c>
      <c r="M448">
        <v>327.60000000000002</v>
      </c>
      <c r="N448">
        <v>18</v>
      </c>
      <c r="O448" t="s">
        <v>26</v>
      </c>
      <c r="P448" t="s">
        <v>43</v>
      </c>
    </row>
    <row r="449" spans="1:16">
      <c r="A449">
        <v>100757</v>
      </c>
      <c r="B449" s="4">
        <v>45206</v>
      </c>
      <c r="C449" t="s">
        <v>497</v>
      </c>
      <c r="D449" t="s">
        <v>24</v>
      </c>
      <c r="E449" t="s">
        <v>25</v>
      </c>
      <c r="F449" t="s">
        <v>1238</v>
      </c>
      <c r="G449" t="s">
        <v>18</v>
      </c>
      <c r="H449">
        <v>3</v>
      </c>
      <c r="I449">
        <v>91.85</v>
      </c>
      <c r="J449">
        <v>0</v>
      </c>
      <c r="K449">
        <v>275.55</v>
      </c>
      <c r="L449">
        <v>101.54</v>
      </c>
      <c r="M449">
        <v>304.62</v>
      </c>
      <c r="N449">
        <v>16</v>
      </c>
      <c r="O449" t="s">
        <v>26</v>
      </c>
      <c r="P449" t="s">
        <v>27</v>
      </c>
    </row>
    <row r="450" spans="1:16">
      <c r="A450">
        <v>100688</v>
      </c>
      <c r="B450" s="4">
        <v>45809</v>
      </c>
      <c r="C450" t="s">
        <v>498</v>
      </c>
      <c r="D450" t="s">
        <v>73</v>
      </c>
      <c r="E450" t="s">
        <v>25</v>
      </c>
      <c r="F450" t="s">
        <v>1239</v>
      </c>
      <c r="G450" t="s">
        <v>18</v>
      </c>
      <c r="H450">
        <v>3</v>
      </c>
      <c r="I450">
        <v>32.26</v>
      </c>
      <c r="J450">
        <v>0</v>
      </c>
      <c r="K450">
        <v>96.78</v>
      </c>
      <c r="L450">
        <v>35.840000000000003</v>
      </c>
      <c r="M450">
        <v>107.52000000000001</v>
      </c>
      <c r="N450">
        <v>37</v>
      </c>
      <c r="O450" t="s">
        <v>19</v>
      </c>
      <c r="P450" t="s">
        <v>51</v>
      </c>
    </row>
    <row r="451" spans="1:16">
      <c r="A451">
        <v>100440</v>
      </c>
      <c r="B451" s="4">
        <v>45636</v>
      </c>
      <c r="C451" t="s">
        <v>611</v>
      </c>
      <c r="D451" t="s">
        <v>70</v>
      </c>
      <c r="E451" t="s">
        <v>25</v>
      </c>
      <c r="F451" t="s">
        <v>1238</v>
      </c>
      <c r="G451" t="s">
        <v>64</v>
      </c>
      <c r="H451">
        <v>4</v>
      </c>
      <c r="I451">
        <v>147.13999999999999</v>
      </c>
      <c r="J451">
        <v>0</v>
      </c>
      <c r="K451">
        <v>588.55999999999995</v>
      </c>
      <c r="L451">
        <v>184.48</v>
      </c>
      <c r="M451">
        <v>737.92</v>
      </c>
      <c r="N451">
        <v>21</v>
      </c>
      <c r="O451" t="s">
        <v>19</v>
      </c>
      <c r="P451" t="s">
        <v>43</v>
      </c>
    </row>
    <row r="452" spans="1:16">
      <c r="A452">
        <v>100793</v>
      </c>
      <c r="B452" s="4">
        <v>45162</v>
      </c>
      <c r="C452" t="s">
        <v>500</v>
      </c>
      <c r="D452" t="s">
        <v>42</v>
      </c>
      <c r="E452" t="s">
        <v>25</v>
      </c>
      <c r="F452" t="s">
        <v>1241</v>
      </c>
      <c r="G452" t="s">
        <v>31</v>
      </c>
      <c r="H452">
        <v>2</v>
      </c>
      <c r="I452">
        <v>166.46</v>
      </c>
      <c r="J452">
        <v>10</v>
      </c>
      <c r="K452">
        <v>299.63</v>
      </c>
      <c r="L452">
        <v>111.39</v>
      </c>
      <c r="M452">
        <v>222.78</v>
      </c>
      <c r="N452">
        <v>27</v>
      </c>
      <c r="O452" t="s">
        <v>26</v>
      </c>
      <c r="P452" t="s">
        <v>46</v>
      </c>
    </row>
    <row r="453" spans="1:16">
      <c r="A453">
        <v>101140</v>
      </c>
      <c r="B453" s="4">
        <v>45336</v>
      </c>
      <c r="C453" t="s">
        <v>610</v>
      </c>
      <c r="D453" t="s">
        <v>24</v>
      </c>
      <c r="E453" t="s">
        <v>25</v>
      </c>
      <c r="F453" t="s">
        <v>1238</v>
      </c>
      <c r="G453" t="s">
        <v>31</v>
      </c>
      <c r="H453">
        <v>4</v>
      </c>
      <c r="I453">
        <v>89.18</v>
      </c>
      <c r="J453">
        <v>0</v>
      </c>
      <c r="K453">
        <v>356.72</v>
      </c>
      <c r="L453">
        <v>105.33</v>
      </c>
      <c r="M453">
        <v>421.32</v>
      </c>
      <c r="N453">
        <v>30</v>
      </c>
      <c r="O453" t="s">
        <v>26</v>
      </c>
      <c r="P453" t="s">
        <v>46</v>
      </c>
    </row>
    <row r="454" spans="1:16">
      <c r="A454">
        <v>100567</v>
      </c>
      <c r="B454" s="4">
        <v>45684</v>
      </c>
      <c r="C454" t="s">
        <v>502</v>
      </c>
      <c r="D454" t="s">
        <v>70</v>
      </c>
      <c r="E454" t="s">
        <v>25</v>
      </c>
      <c r="F454" t="s">
        <v>1237</v>
      </c>
      <c r="G454" t="s">
        <v>18</v>
      </c>
      <c r="H454">
        <v>3</v>
      </c>
      <c r="I454">
        <v>150.63999999999999</v>
      </c>
      <c r="J454">
        <v>20</v>
      </c>
      <c r="K454">
        <v>361.54</v>
      </c>
      <c r="L454">
        <v>91.06</v>
      </c>
      <c r="M454">
        <v>273.18</v>
      </c>
      <c r="N454">
        <v>28</v>
      </c>
      <c r="O454" t="s">
        <v>19</v>
      </c>
      <c r="P454" t="s">
        <v>20</v>
      </c>
    </row>
    <row r="455" spans="1:16">
      <c r="A455">
        <v>100731</v>
      </c>
      <c r="B455" s="4">
        <v>45407</v>
      </c>
      <c r="C455" t="s">
        <v>608</v>
      </c>
      <c r="D455" t="s">
        <v>87</v>
      </c>
      <c r="E455" t="s">
        <v>25</v>
      </c>
      <c r="F455" t="s">
        <v>1241</v>
      </c>
      <c r="G455" t="s">
        <v>18</v>
      </c>
      <c r="H455">
        <v>2</v>
      </c>
      <c r="I455">
        <v>96.02</v>
      </c>
      <c r="J455">
        <v>0</v>
      </c>
      <c r="K455">
        <v>192.04</v>
      </c>
      <c r="L455">
        <v>56.49</v>
      </c>
      <c r="M455">
        <v>112.98</v>
      </c>
      <c r="N455">
        <v>43</v>
      </c>
      <c r="O455" t="s">
        <v>26</v>
      </c>
      <c r="P455" t="s">
        <v>27</v>
      </c>
    </row>
    <row r="456" spans="1:16">
      <c r="A456">
        <v>101098</v>
      </c>
      <c r="B456" s="4">
        <v>45392</v>
      </c>
      <c r="C456" t="s">
        <v>504</v>
      </c>
      <c r="D456" t="s">
        <v>70</v>
      </c>
      <c r="E456" t="s">
        <v>25</v>
      </c>
      <c r="F456" t="s">
        <v>1240</v>
      </c>
      <c r="G456" t="s">
        <v>18</v>
      </c>
      <c r="H456">
        <v>3</v>
      </c>
      <c r="I456">
        <v>146.38999999999999</v>
      </c>
      <c r="J456">
        <v>0</v>
      </c>
      <c r="K456">
        <v>439.17</v>
      </c>
      <c r="L456">
        <v>117.89</v>
      </c>
      <c r="M456">
        <v>353.67</v>
      </c>
      <c r="N456">
        <v>18</v>
      </c>
      <c r="O456" t="s">
        <v>26</v>
      </c>
      <c r="P456" t="s">
        <v>81</v>
      </c>
    </row>
    <row r="457" spans="1:16">
      <c r="A457">
        <v>100890</v>
      </c>
      <c r="B457" s="4">
        <v>45243</v>
      </c>
      <c r="C457" t="s">
        <v>602</v>
      </c>
      <c r="D457" t="s">
        <v>100</v>
      </c>
      <c r="E457" t="s">
        <v>25</v>
      </c>
      <c r="F457" t="s">
        <v>1238</v>
      </c>
      <c r="G457" t="s">
        <v>18</v>
      </c>
      <c r="H457">
        <v>1</v>
      </c>
      <c r="I457">
        <v>136.99</v>
      </c>
      <c r="J457">
        <v>5</v>
      </c>
      <c r="K457">
        <v>130.13999999999999</v>
      </c>
      <c r="L457">
        <v>41.54</v>
      </c>
      <c r="M457">
        <v>41.54</v>
      </c>
      <c r="N457">
        <v>32</v>
      </c>
      <c r="O457" t="s">
        <v>19</v>
      </c>
      <c r="P457" t="s">
        <v>35</v>
      </c>
    </row>
    <row r="458" spans="1:16">
      <c r="A458">
        <v>100254</v>
      </c>
      <c r="B458" s="4">
        <v>45463</v>
      </c>
      <c r="C458" t="s">
        <v>506</v>
      </c>
      <c r="D458" t="s">
        <v>70</v>
      </c>
      <c r="E458" t="s">
        <v>25</v>
      </c>
      <c r="F458" t="s">
        <v>1241</v>
      </c>
      <c r="G458" t="s">
        <v>48</v>
      </c>
      <c r="H458">
        <v>5</v>
      </c>
      <c r="I458">
        <v>145.34</v>
      </c>
      <c r="J458">
        <v>0</v>
      </c>
      <c r="K458">
        <v>726.7</v>
      </c>
      <c r="L458">
        <v>224.2</v>
      </c>
      <c r="M458">
        <v>1121</v>
      </c>
      <c r="N458">
        <v>33</v>
      </c>
      <c r="O458" t="s">
        <v>26</v>
      </c>
      <c r="P458" t="s">
        <v>81</v>
      </c>
    </row>
    <row r="459" spans="1:16">
      <c r="A459">
        <v>100829</v>
      </c>
      <c r="B459" s="4">
        <v>45052</v>
      </c>
      <c r="C459" t="s">
        <v>600</v>
      </c>
      <c r="D459" t="s">
        <v>73</v>
      </c>
      <c r="E459" t="s">
        <v>25</v>
      </c>
      <c r="F459" t="s">
        <v>1238</v>
      </c>
      <c r="G459" t="s">
        <v>31</v>
      </c>
      <c r="H459">
        <v>2</v>
      </c>
      <c r="I459">
        <v>33.950000000000003</v>
      </c>
      <c r="J459">
        <v>5</v>
      </c>
      <c r="K459">
        <v>64.5</v>
      </c>
      <c r="L459">
        <v>22.58</v>
      </c>
      <c r="M459">
        <v>45.16</v>
      </c>
      <c r="N459">
        <v>32</v>
      </c>
      <c r="O459" t="s">
        <v>26</v>
      </c>
      <c r="P459" t="s">
        <v>46</v>
      </c>
    </row>
    <row r="460" spans="1:16">
      <c r="A460">
        <v>100704</v>
      </c>
      <c r="B460" s="4">
        <v>45507</v>
      </c>
      <c r="C460" t="s">
        <v>599</v>
      </c>
      <c r="D460" t="s">
        <v>68</v>
      </c>
      <c r="E460" t="s">
        <v>25</v>
      </c>
      <c r="F460" t="s">
        <v>1238</v>
      </c>
      <c r="G460" t="s">
        <v>31</v>
      </c>
      <c r="H460">
        <v>2</v>
      </c>
      <c r="I460">
        <v>224.14</v>
      </c>
      <c r="J460">
        <v>0</v>
      </c>
      <c r="K460">
        <v>448.28</v>
      </c>
      <c r="L460">
        <v>104.77</v>
      </c>
      <c r="M460">
        <v>209.54</v>
      </c>
      <c r="N460">
        <v>37</v>
      </c>
      <c r="O460" t="s">
        <v>26</v>
      </c>
      <c r="P460" t="s">
        <v>43</v>
      </c>
    </row>
    <row r="461" spans="1:16">
      <c r="A461">
        <v>101194</v>
      </c>
      <c r="B461" s="4">
        <v>45034</v>
      </c>
      <c r="C461" t="s">
        <v>593</v>
      </c>
      <c r="D461" t="s">
        <v>42</v>
      </c>
      <c r="E461" t="s">
        <v>25</v>
      </c>
      <c r="F461" t="s">
        <v>1238</v>
      </c>
      <c r="G461" t="s">
        <v>64</v>
      </c>
      <c r="H461">
        <v>3</v>
      </c>
      <c r="I461">
        <v>171.62</v>
      </c>
      <c r="J461">
        <v>0</v>
      </c>
      <c r="K461">
        <v>514.86</v>
      </c>
      <c r="L461">
        <v>167.49</v>
      </c>
      <c r="M461">
        <v>502.47</v>
      </c>
      <c r="N461">
        <v>28</v>
      </c>
      <c r="O461" t="s">
        <v>19</v>
      </c>
      <c r="P461" t="s">
        <v>81</v>
      </c>
    </row>
    <row r="462" spans="1:16">
      <c r="A462">
        <v>101158</v>
      </c>
      <c r="B462" s="4">
        <v>45442</v>
      </c>
      <c r="C462" t="s">
        <v>590</v>
      </c>
      <c r="D462" t="s">
        <v>100</v>
      </c>
      <c r="E462" t="s">
        <v>25</v>
      </c>
      <c r="F462" t="s">
        <v>1238</v>
      </c>
      <c r="G462" t="s">
        <v>48</v>
      </c>
      <c r="H462">
        <v>2</v>
      </c>
      <c r="I462">
        <v>133.51</v>
      </c>
      <c r="J462">
        <v>5</v>
      </c>
      <c r="K462">
        <v>253.67</v>
      </c>
      <c r="L462">
        <v>72.760000000000005</v>
      </c>
      <c r="M462">
        <v>145.52000000000001</v>
      </c>
      <c r="N462">
        <v>42</v>
      </c>
      <c r="O462" t="s">
        <v>26</v>
      </c>
      <c r="P462" t="s">
        <v>43</v>
      </c>
    </row>
    <row r="463" spans="1:16">
      <c r="A463">
        <v>100501</v>
      </c>
      <c r="B463" s="4">
        <v>45437</v>
      </c>
      <c r="C463" t="s">
        <v>586</v>
      </c>
      <c r="D463" t="s">
        <v>73</v>
      </c>
      <c r="E463" t="s">
        <v>25</v>
      </c>
      <c r="F463" t="s">
        <v>1241</v>
      </c>
      <c r="G463" t="s">
        <v>18</v>
      </c>
      <c r="H463">
        <v>2</v>
      </c>
      <c r="I463">
        <v>36.380000000000003</v>
      </c>
      <c r="J463">
        <v>20</v>
      </c>
      <c r="K463">
        <v>58.21</v>
      </c>
      <c r="L463">
        <v>13.87</v>
      </c>
      <c r="M463">
        <v>27.74</v>
      </c>
      <c r="N463">
        <v>39</v>
      </c>
      <c r="O463" t="s">
        <v>26</v>
      </c>
      <c r="P463" t="s">
        <v>51</v>
      </c>
    </row>
    <row r="464" spans="1:16">
      <c r="A464">
        <v>100388</v>
      </c>
      <c r="B464" s="4">
        <v>45589</v>
      </c>
      <c r="C464" t="s">
        <v>512</v>
      </c>
      <c r="D464" t="s">
        <v>42</v>
      </c>
      <c r="E464" t="s">
        <v>25</v>
      </c>
      <c r="F464" t="s">
        <v>1241</v>
      </c>
      <c r="G464" t="s">
        <v>18</v>
      </c>
      <c r="H464">
        <v>2</v>
      </c>
      <c r="I464">
        <v>180.08</v>
      </c>
      <c r="J464">
        <v>0</v>
      </c>
      <c r="K464">
        <v>360.16</v>
      </c>
      <c r="L464">
        <v>84.13</v>
      </c>
      <c r="M464">
        <v>168.26</v>
      </c>
      <c r="N464">
        <v>34</v>
      </c>
      <c r="O464" t="s">
        <v>19</v>
      </c>
      <c r="P464" t="s">
        <v>20</v>
      </c>
    </row>
    <row r="465" spans="1:16">
      <c r="A465">
        <v>100144</v>
      </c>
      <c r="B465" s="4">
        <v>45374</v>
      </c>
      <c r="C465" t="s">
        <v>585</v>
      </c>
      <c r="D465" t="s">
        <v>87</v>
      </c>
      <c r="E465" t="s">
        <v>25</v>
      </c>
      <c r="F465" t="s">
        <v>1237</v>
      </c>
      <c r="G465" t="s">
        <v>31</v>
      </c>
      <c r="H465">
        <v>3</v>
      </c>
      <c r="I465">
        <v>102.41</v>
      </c>
      <c r="J465">
        <v>20</v>
      </c>
      <c r="K465">
        <v>245.78</v>
      </c>
      <c r="L465">
        <v>72.55</v>
      </c>
      <c r="M465">
        <v>217.64999999999998</v>
      </c>
      <c r="N465">
        <v>31</v>
      </c>
      <c r="O465" t="s">
        <v>26</v>
      </c>
      <c r="P465" t="s">
        <v>20</v>
      </c>
    </row>
    <row r="466" spans="1:16">
      <c r="A466">
        <v>100965</v>
      </c>
      <c r="B466" s="4">
        <v>45117</v>
      </c>
      <c r="C466" t="s">
        <v>582</v>
      </c>
      <c r="D466" t="s">
        <v>73</v>
      </c>
      <c r="E466" t="s">
        <v>25</v>
      </c>
      <c r="F466" t="s">
        <v>1241</v>
      </c>
      <c r="G466" t="s">
        <v>31</v>
      </c>
      <c r="H466">
        <v>5</v>
      </c>
      <c r="I466">
        <v>34.409999999999997</v>
      </c>
      <c r="J466">
        <v>10</v>
      </c>
      <c r="K466">
        <v>154.84</v>
      </c>
      <c r="L466">
        <v>46.15</v>
      </c>
      <c r="M466">
        <v>230.75</v>
      </c>
      <c r="N466">
        <v>16</v>
      </c>
      <c r="O466" t="s">
        <v>26</v>
      </c>
      <c r="P466" t="s">
        <v>32</v>
      </c>
    </row>
    <row r="467" spans="1:16">
      <c r="A467">
        <v>100482</v>
      </c>
      <c r="B467" s="4">
        <v>45306</v>
      </c>
      <c r="C467" t="s">
        <v>515</v>
      </c>
      <c r="D467" t="s">
        <v>70</v>
      </c>
      <c r="E467" t="s">
        <v>25</v>
      </c>
      <c r="F467" t="s">
        <v>1238</v>
      </c>
      <c r="G467" t="s">
        <v>64</v>
      </c>
      <c r="H467">
        <v>3</v>
      </c>
      <c r="I467">
        <v>181.45</v>
      </c>
      <c r="J467">
        <v>0</v>
      </c>
      <c r="K467">
        <v>544.35</v>
      </c>
      <c r="L467">
        <v>133.04</v>
      </c>
      <c r="M467">
        <v>399.12</v>
      </c>
      <c r="N467">
        <v>39</v>
      </c>
      <c r="O467" t="s">
        <v>26</v>
      </c>
      <c r="P467" t="s">
        <v>32</v>
      </c>
    </row>
    <row r="468" spans="1:16">
      <c r="A468">
        <v>100712</v>
      </c>
      <c r="B468" s="4">
        <v>44950</v>
      </c>
      <c r="C468" t="s">
        <v>516</v>
      </c>
      <c r="D468" t="s">
        <v>24</v>
      </c>
      <c r="E468" t="s">
        <v>25</v>
      </c>
      <c r="F468" t="s">
        <v>1238</v>
      </c>
      <c r="G468" t="s">
        <v>31</v>
      </c>
      <c r="H468">
        <v>1</v>
      </c>
      <c r="I468">
        <v>96.24</v>
      </c>
      <c r="J468">
        <v>0</v>
      </c>
      <c r="K468">
        <v>96.24</v>
      </c>
      <c r="L468">
        <v>23.12</v>
      </c>
      <c r="M468">
        <v>23.12</v>
      </c>
      <c r="N468">
        <v>19</v>
      </c>
      <c r="O468" t="s">
        <v>26</v>
      </c>
      <c r="P468" t="s">
        <v>32</v>
      </c>
    </row>
    <row r="469" spans="1:16">
      <c r="A469">
        <v>100873</v>
      </c>
      <c r="B469" s="4">
        <v>45762</v>
      </c>
      <c r="C469" t="s">
        <v>580</v>
      </c>
      <c r="D469" t="s">
        <v>100</v>
      </c>
      <c r="E469" t="s">
        <v>25</v>
      </c>
      <c r="F469" t="s">
        <v>1237</v>
      </c>
      <c r="G469" t="s">
        <v>18</v>
      </c>
      <c r="H469">
        <v>5</v>
      </c>
      <c r="I469">
        <v>117.95</v>
      </c>
      <c r="J469">
        <v>0</v>
      </c>
      <c r="K469">
        <v>589.75</v>
      </c>
      <c r="L469">
        <v>196.16</v>
      </c>
      <c r="M469">
        <v>980.8</v>
      </c>
      <c r="N469">
        <v>16</v>
      </c>
      <c r="O469" t="s">
        <v>122</v>
      </c>
      <c r="P469" t="s">
        <v>43</v>
      </c>
    </row>
    <row r="470" spans="1:16">
      <c r="A470">
        <v>101110</v>
      </c>
      <c r="B470" s="4">
        <v>45016</v>
      </c>
      <c r="C470" t="s">
        <v>518</v>
      </c>
      <c r="D470" t="s">
        <v>87</v>
      </c>
      <c r="E470" t="s">
        <v>25</v>
      </c>
      <c r="F470" t="s">
        <v>1241</v>
      </c>
      <c r="G470" t="s">
        <v>64</v>
      </c>
      <c r="H470">
        <v>1</v>
      </c>
      <c r="I470">
        <v>93.52</v>
      </c>
      <c r="J470">
        <v>10</v>
      </c>
      <c r="K470">
        <v>84.17</v>
      </c>
      <c r="L470">
        <v>25.93</v>
      </c>
      <c r="M470">
        <v>25.93</v>
      </c>
      <c r="N470">
        <v>31</v>
      </c>
      <c r="O470" t="s">
        <v>26</v>
      </c>
      <c r="P470" t="s">
        <v>27</v>
      </c>
    </row>
    <row r="471" spans="1:16">
      <c r="A471">
        <v>101089</v>
      </c>
      <c r="B471" s="4">
        <v>45552</v>
      </c>
      <c r="C471" t="s">
        <v>519</v>
      </c>
      <c r="D471" t="s">
        <v>100</v>
      </c>
      <c r="E471" t="s">
        <v>25</v>
      </c>
      <c r="F471" t="s">
        <v>1241</v>
      </c>
      <c r="G471" t="s">
        <v>31</v>
      </c>
      <c r="H471">
        <v>1</v>
      </c>
      <c r="I471">
        <v>132.69999999999999</v>
      </c>
      <c r="J471">
        <v>10</v>
      </c>
      <c r="K471">
        <v>119.43</v>
      </c>
      <c r="L471">
        <v>21.29</v>
      </c>
      <c r="M471">
        <v>21.29</v>
      </c>
      <c r="N471">
        <v>35</v>
      </c>
      <c r="O471" t="s">
        <v>26</v>
      </c>
      <c r="P471" t="s">
        <v>81</v>
      </c>
    </row>
    <row r="472" spans="1:16">
      <c r="A472">
        <v>100449</v>
      </c>
      <c r="B472" s="4">
        <v>45425</v>
      </c>
      <c r="C472" t="s">
        <v>579</v>
      </c>
      <c r="D472" t="s">
        <v>70</v>
      </c>
      <c r="E472" t="s">
        <v>25</v>
      </c>
      <c r="F472" t="s">
        <v>1237</v>
      </c>
      <c r="G472" t="s">
        <v>18</v>
      </c>
      <c r="H472">
        <v>2</v>
      </c>
      <c r="I472">
        <v>132.6</v>
      </c>
      <c r="J472">
        <v>5</v>
      </c>
      <c r="K472">
        <v>251.94</v>
      </c>
      <c r="L472">
        <v>78.19</v>
      </c>
      <c r="M472">
        <v>156.38</v>
      </c>
      <c r="N472">
        <v>30</v>
      </c>
      <c r="O472" t="s">
        <v>26</v>
      </c>
      <c r="P472" t="s">
        <v>27</v>
      </c>
    </row>
    <row r="473" spans="1:16">
      <c r="A473">
        <v>100916</v>
      </c>
      <c r="B473" s="4">
        <v>45508</v>
      </c>
      <c r="C473" t="s">
        <v>521</v>
      </c>
      <c r="D473" t="s">
        <v>70</v>
      </c>
      <c r="E473" t="s">
        <v>25</v>
      </c>
      <c r="F473" t="s">
        <v>1241</v>
      </c>
      <c r="G473" t="s">
        <v>64</v>
      </c>
      <c r="H473">
        <v>1</v>
      </c>
      <c r="I473">
        <v>152.72999999999999</v>
      </c>
      <c r="J473">
        <v>0</v>
      </c>
      <c r="K473">
        <v>152.72999999999999</v>
      </c>
      <c r="L473">
        <v>50.68</v>
      </c>
      <c r="M473">
        <v>50.68</v>
      </c>
      <c r="N473">
        <v>21</v>
      </c>
      <c r="O473" t="s">
        <v>26</v>
      </c>
      <c r="P473" t="s">
        <v>32</v>
      </c>
    </row>
    <row r="474" spans="1:16">
      <c r="A474">
        <v>100802</v>
      </c>
      <c r="B474" s="4">
        <v>45852</v>
      </c>
      <c r="C474" t="s">
        <v>575</v>
      </c>
      <c r="D474" t="s">
        <v>100</v>
      </c>
      <c r="E474" t="s">
        <v>25</v>
      </c>
      <c r="F474" t="s">
        <v>1237</v>
      </c>
      <c r="G474" t="s">
        <v>48</v>
      </c>
      <c r="H474">
        <v>1</v>
      </c>
      <c r="I474">
        <v>132.72999999999999</v>
      </c>
      <c r="J474">
        <v>10</v>
      </c>
      <c r="K474">
        <v>119.46</v>
      </c>
      <c r="L474">
        <v>32.19</v>
      </c>
      <c r="M474">
        <v>32.19</v>
      </c>
      <c r="N474">
        <v>42</v>
      </c>
      <c r="O474" t="s">
        <v>26</v>
      </c>
      <c r="P474" t="s">
        <v>46</v>
      </c>
    </row>
    <row r="475" spans="1:16">
      <c r="A475">
        <v>100118</v>
      </c>
      <c r="B475" s="4">
        <v>45597</v>
      </c>
      <c r="C475" t="s">
        <v>574</v>
      </c>
      <c r="D475" t="s">
        <v>87</v>
      </c>
      <c r="E475" t="s">
        <v>25</v>
      </c>
      <c r="F475" t="s">
        <v>1237</v>
      </c>
      <c r="G475" t="s">
        <v>64</v>
      </c>
      <c r="H475">
        <v>7</v>
      </c>
      <c r="I475">
        <v>83.62</v>
      </c>
      <c r="J475">
        <v>0</v>
      </c>
      <c r="K475">
        <v>585.34</v>
      </c>
      <c r="L475">
        <v>176.98</v>
      </c>
      <c r="M475">
        <v>1238.8599999999999</v>
      </c>
      <c r="N475">
        <v>45</v>
      </c>
      <c r="O475" t="s">
        <v>26</v>
      </c>
      <c r="P475" t="s">
        <v>43</v>
      </c>
    </row>
    <row r="476" spans="1:16">
      <c r="A476">
        <v>100373</v>
      </c>
      <c r="B476" s="4">
        <v>45104</v>
      </c>
      <c r="C476" t="s">
        <v>573</v>
      </c>
      <c r="D476" t="s">
        <v>42</v>
      </c>
      <c r="E476" t="s">
        <v>25</v>
      </c>
      <c r="F476" t="s">
        <v>1237</v>
      </c>
      <c r="G476" t="s">
        <v>18</v>
      </c>
      <c r="H476">
        <v>1</v>
      </c>
      <c r="I476">
        <v>170.96</v>
      </c>
      <c r="J476">
        <v>0</v>
      </c>
      <c r="K476">
        <v>170.96</v>
      </c>
      <c r="L476">
        <v>57.49</v>
      </c>
      <c r="M476">
        <v>57.49</v>
      </c>
      <c r="N476">
        <v>34</v>
      </c>
      <c r="O476" t="s">
        <v>26</v>
      </c>
      <c r="P476" t="s">
        <v>32</v>
      </c>
    </row>
    <row r="477" spans="1:16">
      <c r="A477">
        <v>100594</v>
      </c>
      <c r="B477" s="4">
        <v>44930</v>
      </c>
      <c r="C477" t="s">
        <v>525</v>
      </c>
      <c r="D477" t="s">
        <v>100</v>
      </c>
      <c r="E477" t="s">
        <v>25</v>
      </c>
      <c r="F477" t="s">
        <v>1241</v>
      </c>
      <c r="G477" t="s">
        <v>31</v>
      </c>
      <c r="H477">
        <v>2</v>
      </c>
      <c r="I477">
        <v>119.58</v>
      </c>
      <c r="J477">
        <v>0</v>
      </c>
      <c r="K477">
        <v>239.16</v>
      </c>
      <c r="L477">
        <v>62.75</v>
      </c>
      <c r="M477">
        <v>125.5</v>
      </c>
      <c r="N477">
        <v>37</v>
      </c>
      <c r="O477" t="s">
        <v>26</v>
      </c>
      <c r="P477" t="s">
        <v>81</v>
      </c>
    </row>
    <row r="478" spans="1:16">
      <c r="A478">
        <v>101118</v>
      </c>
      <c r="B478" s="4">
        <v>45135</v>
      </c>
      <c r="C478" t="s">
        <v>572</v>
      </c>
      <c r="D478" t="s">
        <v>24</v>
      </c>
      <c r="E478" t="s">
        <v>25</v>
      </c>
      <c r="F478" t="s">
        <v>1238</v>
      </c>
      <c r="G478" t="s">
        <v>31</v>
      </c>
      <c r="H478">
        <v>5</v>
      </c>
      <c r="I478">
        <v>95.27</v>
      </c>
      <c r="J478">
        <v>10</v>
      </c>
      <c r="K478">
        <v>428.71</v>
      </c>
      <c r="L478">
        <v>99.13</v>
      </c>
      <c r="M478">
        <v>495.65</v>
      </c>
      <c r="N478">
        <v>30</v>
      </c>
      <c r="O478" t="s">
        <v>19</v>
      </c>
      <c r="P478" t="s">
        <v>81</v>
      </c>
    </row>
    <row r="479" spans="1:16">
      <c r="A479">
        <v>100145</v>
      </c>
      <c r="B479" s="4">
        <v>45268</v>
      </c>
      <c r="C479" t="s">
        <v>571</v>
      </c>
      <c r="D479" t="s">
        <v>42</v>
      </c>
      <c r="E479" t="s">
        <v>25</v>
      </c>
      <c r="F479" t="s">
        <v>1237</v>
      </c>
      <c r="G479" t="s">
        <v>31</v>
      </c>
      <c r="H479">
        <v>4</v>
      </c>
      <c r="I479">
        <v>155.71</v>
      </c>
      <c r="J479">
        <v>10</v>
      </c>
      <c r="K479">
        <v>560.55999999999995</v>
      </c>
      <c r="L479">
        <v>182.17</v>
      </c>
      <c r="M479">
        <v>728.68</v>
      </c>
      <c r="N479">
        <v>34</v>
      </c>
      <c r="O479" t="s">
        <v>26</v>
      </c>
      <c r="P479" t="s">
        <v>43</v>
      </c>
    </row>
    <row r="480" spans="1:16">
      <c r="A480">
        <v>100545</v>
      </c>
      <c r="B480" s="4">
        <v>44971</v>
      </c>
      <c r="C480" t="s">
        <v>528</v>
      </c>
      <c r="D480" t="s">
        <v>68</v>
      </c>
      <c r="E480" t="s">
        <v>25</v>
      </c>
      <c r="F480" t="s">
        <v>1241</v>
      </c>
      <c r="G480" t="s">
        <v>18</v>
      </c>
      <c r="H480">
        <v>2</v>
      </c>
      <c r="I480">
        <v>222.43</v>
      </c>
      <c r="J480">
        <v>20</v>
      </c>
      <c r="K480">
        <v>355.89</v>
      </c>
      <c r="L480">
        <v>115.76</v>
      </c>
      <c r="M480">
        <v>231.52</v>
      </c>
      <c r="N480">
        <v>31</v>
      </c>
      <c r="O480" t="s">
        <v>26</v>
      </c>
      <c r="P480" t="s">
        <v>81</v>
      </c>
    </row>
    <row r="481" spans="1:16">
      <c r="A481">
        <v>100033</v>
      </c>
      <c r="B481" s="4">
        <v>45888</v>
      </c>
      <c r="C481" t="s">
        <v>529</v>
      </c>
      <c r="D481" t="s">
        <v>68</v>
      </c>
      <c r="E481" t="s">
        <v>25</v>
      </c>
      <c r="F481" t="s">
        <v>1239</v>
      </c>
      <c r="G481" t="s">
        <v>31</v>
      </c>
      <c r="H481">
        <v>2</v>
      </c>
      <c r="I481">
        <v>204.91</v>
      </c>
      <c r="J481">
        <v>40</v>
      </c>
      <c r="K481">
        <v>245.89</v>
      </c>
      <c r="L481">
        <v>60.6</v>
      </c>
      <c r="M481">
        <v>121.2</v>
      </c>
      <c r="N481">
        <v>33</v>
      </c>
      <c r="O481" t="s">
        <v>26</v>
      </c>
      <c r="P481" t="s">
        <v>20</v>
      </c>
    </row>
    <row r="482" spans="1:16">
      <c r="A482">
        <v>100223</v>
      </c>
      <c r="B482" s="4">
        <v>45265</v>
      </c>
      <c r="C482" t="s">
        <v>570</v>
      </c>
      <c r="D482" t="s">
        <v>42</v>
      </c>
      <c r="E482" t="s">
        <v>25</v>
      </c>
      <c r="F482" t="s">
        <v>1237</v>
      </c>
      <c r="G482" t="s">
        <v>31</v>
      </c>
      <c r="H482">
        <v>1</v>
      </c>
      <c r="I482">
        <v>167.08</v>
      </c>
      <c r="J482">
        <v>0</v>
      </c>
      <c r="K482">
        <v>167.08</v>
      </c>
      <c r="L482">
        <v>35.979999999999997</v>
      </c>
      <c r="M482">
        <v>35.979999999999997</v>
      </c>
      <c r="N482">
        <v>29</v>
      </c>
      <c r="O482" t="s">
        <v>26</v>
      </c>
      <c r="P482" t="s">
        <v>43</v>
      </c>
    </row>
    <row r="483" spans="1:16">
      <c r="A483">
        <v>100238</v>
      </c>
      <c r="B483" s="4">
        <v>45886</v>
      </c>
      <c r="C483" t="s">
        <v>424</v>
      </c>
      <c r="D483" t="s">
        <v>87</v>
      </c>
      <c r="E483" t="s">
        <v>25</v>
      </c>
      <c r="F483" t="s">
        <v>1237</v>
      </c>
      <c r="G483" t="s">
        <v>31</v>
      </c>
      <c r="H483">
        <v>4</v>
      </c>
      <c r="I483">
        <v>86.59</v>
      </c>
      <c r="J483">
        <v>10</v>
      </c>
      <c r="K483">
        <v>311.72000000000003</v>
      </c>
      <c r="L483">
        <v>69.27</v>
      </c>
      <c r="M483">
        <v>277.08</v>
      </c>
      <c r="N483">
        <v>39</v>
      </c>
      <c r="O483" t="s">
        <v>19</v>
      </c>
      <c r="P483" t="s">
        <v>81</v>
      </c>
    </row>
    <row r="484" spans="1:16">
      <c r="A484">
        <v>100448</v>
      </c>
      <c r="B484" s="4">
        <v>45317</v>
      </c>
      <c r="C484" t="s">
        <v>532</v>
      </c>
      <c r="D484" t="s">
        <v>87</v>
      </c>
      <c r="E484" t="s">
        <v>25</v>
      </c>
      <c r="F484" t="s">
        <v>1238</v>
      </c>
      <c r="G484" t="s">
        <v>18</v>
      </c>
      <c r="H484">
        <v>3</v>
      </c>
      <c r="I484">
        <v>80.63</v>
      </c>
      <c r="J484">
        <v>5</v>
      </c>
      <c r="K484">
        <v>229.8</v>
      </c>
      <c r="L484">
        <v>88.49</v>
      </c>
      <c r="M484">
        <v>265.46999999999997</v>
      </c>
      <c r="N484">
        <v>29</v>
      </c>
      <c r="O484" t="s">
        <v>19</v>
      </c>
      <c r="P484" t="s">
        <v>43</v>
      </c>
    </row>
    <row r="485" spans="1:16">
      <c r="A485">
        <v>101055</v>
      </c>
      <c r="B485" s="4">
        <v>44998</v>
      </c>
      <c r="C485" t="s">
        <v>569</v>
      </c>
      <c r="D485" t="s">
        <v>68</v>
      </c>
      <c r="E485" t="s">
        <v>25</v>
      </c>
      <c r="F485" t="s">
        <v>1241</v>
      </c>
      <c r="G485" t="s">
        <v>48</v>
      </c>
      <c r="H485">
        <v>1</v>
      </c>
      <c r="I485">
        <v>230.24</v>
      </c>
      <c r="J485">
        <v>10</v>
      </c>
      <c r="K485">
        <v>207.22</v>
      </c>
      <c r="L485">
        <v>70.31</v>
      </c>
      <c r="M485">
        <v>70.31</v>
      </c>
      <c r="N485">
        <v>25</v>
      </c>
      <c r="O485" t="s">
        <v>19</v>
      </c>
      <c r="P485" t="s">
        <v>27</v>
      </c>
    </row>
    <row r="486" spans="1:16">
      <c r="A486">
        <v>100259</v>
      </c>
      <c r="B486" s="4">
        <v>45596</v>
      </c>
      <c r="C486" t="s">
        <v>534</v>
      </c>
      <c r="D486" t="s">
        <v>70</v>
      </c>
      <c r="E486" t="s">
        <v>25</v>
      </c>
      <c r="F486" t="s">
        <v>1238</v>
      </c>
      <c r="G486" t="s">
        <v>31</v>
      </c>
      <c r="H486">
        <v>4</v>
      </c>
      <c r="I486">
        <v>149.63</v>
      </c>
      <c r="J486">
        <v>10</v>
      </c>
      <c r="K486">
        <v>538.66999999999996</v>
      </c>
      <c r="L486">
        <v>129.47</v>
      </c>
      <c r="M486">
        <v>517.88</v>
      </c>
      <c r="N486">
        <v>29</v>
      </c>
      <c r="O486" t="s">
        <v>26</v>
      </c>
      <c r="P486" t="s">
        <v>81</v>
      </c>
    </row>
    <row r="487" spans="1:16">
      <c r="A487">
        <v>100281</v>
      </c>
      <c r="B487" s="4">
        <v>45035</v>
      </c>
      <c r="C487" t="s">
        <v>568</v>
      </c>
      <c r="D487" t="s">
        <v>39</v>
      </c>
      <c r="E487" t="s">
        <v>25</v>
      </c>
      <c r="F487" t="s">
        <v>1241</v>
      </c>
      <c r="G487" t="s">
        <v>31</v>
      </c>
      <c r="H487">
        <v>4</v>
      </c>
      <c r="I487">
        <v>174.63</v>
      </c>
      <c r="J487">
        <v>10</v>
      </c>
      <c r="K487">
        <v>628.66999999999996</v>
      </c>
      <c r="L487">
        <v>195.66</v>
      </c>
      <c r="M487">
        <v>782.64</v>
      </c>
      <c r="N487">
        <v>37</v>
      </c>
      <c r="O487" t="s">
        <v>19</v>
      </c>
      <c r="P487" t="s">
        <v>51</v>
      </c>
    </row>
    <row r="488" spans="1:16">
      <c r="A488">
        <v>100062</v>
      </c>
      <c r="B488" s="4">
        <v>45699</v>
      </c>
      <c r="C488" t="s">
        <v>567</v>
      </c>
      <c r="D488" t="s">
        <v>39</v>
      </c>
      <c r="E488" t="s">
        <v>25</v>
      </c>
      <c r="F488" t="s">
        <v>1241</v>
      </c>
      <c r="G488" t="s">
        <v>18</v>
      </c>
      <c r="H488">
        <v>3</v>
      </c>
      <c r="I488">
        <v>149.9</v>
      </c>
      <c r="J488">
        <v>0</v>
      </c>
      <c r="K488">
        <v>449.7</v>
      </c>
      <c r="L488">
        <v>174.72</v>
      </c>
      <c r="M488">
        <v>524.16</v>
      </c>
      <c r="N488">
        <v>33</v>
      </c>
      <c r="O488" t="s">
        <v>26</v>
      </c>
      <c r="P488" t="s">
        <v>35</v>
      </c>
    </row>
    <row r="489" spans="1:16">
      <c r="A489">
        <v>100605</v>
      </c>
      <c r="B489" s="4">
        <v>45500</v>
      </c>
      <c r="C489" t="s">
        <v>566</v>
      </c>
      <c r="D489" t="s">
        <v>73</v>
      </c>
      <c r="E489" t="s">
        <v>25</v>
      </c>
      <c r="F489" t="s">
        <v>1241</v>
      </c>
      <c r="G489" t="s">
        <v>18</v>
      </c>
      <c r="H489">
        <v>1</v>
      </c>
      <c r="I489">
        <v>34.1</v>
      </c>
      <c r="J489">
        <v>10</v>
      </c>
      <c r="K489">
        <v>30.69</v>
      </c>
      <c r="L489">
        <v>7.56</v>
      </c>
      <c r="M489">
        <v>7.56</v>
      </c>
      <c r="N489">
        <v>45</v>
      </c>
      <c r="O489" t="s">
        <v>19</v>
      </c>
      <c r="P489" t="s">
        <v>20</v>
      </c>
    </row>
    <row r="490" spans="1:16">
      <c r="A490">
        <v>101057</v>
      </c>
      <c r="B490" s="4">
        <v>45715</v>
      </c>
      <c r="C490" t="s">
        <v>563</v>
      </c>
      <c r="D490" t="s">
        <v>24</v>
      </c>
      <c r="E490" t="s">
        <v>25</v>
      </c>
      <c r="F490" t="s">
        <v>1240</v>
      </c>
      <c r="G490" t="s">
        <v>31</v>
      </c>
      <c r="H490">
        <v>3</v>
      </c>
      <c r="I490">
        <v>85.71</v>
      </c>
      <c r="J490">
        <v>40</v>
      </c>
      <c r="K490">
        <v>154.28</v>
      </c>
      <c r="L490">
        <v>45.27</v>
      </c>
      <c r="M490">
        <v>135.81</v>
      </c>
      <c r="N490">
        <v>39</v>
      </c>
      <c r="O490" t="s">
        <v>19</v>
      </c>
      <c r="P490" t="s">
        <v>81</v>
      </c>
    </row>
    <row r="491" spans="1:16">
      <c r="A491">
        <v>100365</v>
      </c>
      <c r="B491" s="4">
        <v>44981</v>
      </c>
      <c r="C491" t="s">
        <v>539</v>
      </c>
      <c r="D491" t="s">
        <v>87</v>
      </c>
      <c r="E491" t="s">
        <v>25</v>
      </c>
      <c r="F491" t="s">
        <v>1240</v>
      </c>
      <c r="G491" t="s">
        <v>18</v>
      </c>
      <c r="H491">
        <v>5</v>
      </c>
      <c r="I491">
        <v>74.78</v>
      </c>
      <c r="J491">
        <v>5</v>
      </c>
      <c r="K491">
        <v>355.2</v>
      </c>
      <c r="L491">
        <v>100.14</v>
      </c>
      <c r="M491">
        <v>500.7</v>
      </c>
      <c r="N491">
        <v>32</v>
      </c>
      <c r="O491" t="s">
        <v>19</v>
      </c>
      <c r="P491" t="s">
        <v>20</v>
      </c>
    </row>
    <row r="492" spans="1:16">
      <c r="A492">
        <v>101043</v>
      </c>
      <c r="B492" s="4">
        <v>45571</v>
      </c>
      <c r="C492" t="s">
        <v>38</v>
      </c>
      <c r="D492" t="s">
        <v>87</v>
      </c>
      <c r="E492" t="s">
        <v>25</v>
      </c>
      <c r="F492" t="s">
        <v>1241</v>
      </c>
      <c r="G492" t="s">
        <v>18</v>
      </c>
      <c r="H492">
        <v>2</v>
      </c>
      <c r="I492">
        <v>84.94</v>
      </c>
      <c r="J492">
        <v>0</v>
      </c>
      <c r="K492">
        <v>169.88</v>
      </c>
      <c r="L492">
        <v>67.75</v>
      </c>
      <c r="M492">
        <v>135.5</v>
      </c>
      <c r="N492">
        <v>21</v>
      </c>
      <c r="O492" t="s">
        <v>19</v>
      </c>
      <c r="P492" t="s">
        <v>81</v>
      </c>
    </row>
    <row r="493" spans="1:16">
      <c r="A493">
        <v>101195</v>
      </c>
      <c r="B493" s="4">
        <v>44965</v>
      </c>
      <c r="C493" t="s">
        <v>562</v>
      </c>
      <c r="D493" t="s">
        <v>24</v>
      </c>
      <c r="E493" t="s">
        <v>25</v>
      </c>
      <c r="F493" t="s">
        <v>1238</v>
      </c>
      <c r="G493" t="s">
        <v>31</v>
      </c>
      <c r="H493">
        <v>2</v>
      </c>
      <c r="I493">
        <v>77.510000000000005</v>
      </c>
      <c r="J493">
        <v>5</v>
      </c>
      <c r="K493">
        <v>147.27000000000001</v>
      </c>
      <c r="L493">
        <v>42.27</v>
      </c>
      <c r="M493">
        <v>84.54</v>
      </c>
      <c r="N493">
        <v>28</v>
      </c>
      <c r="O493" t="s">
        <v>26</v>
      </c>
      <c r="P493" t="s">
        <v>35</v>
      </c>
    </row>
    <row r="494" spans="1:16">
      <c r="A494">
        <v>100404</v>
      </c>
      <c r="B494" s="4">
        <v>45770</v>
      </c>
      <c r="C494" t="s">
        <v>561</v>
      </c>
      <c r="D494" t="s">
        <v>70</v>
      </c>
      <c r="E494" t="s">
        <v>25</v>
      </c>
      <c r="F494" t="s">
        <v>1241</v>
      </c>
      <c r="G494" t="s">
        <v>31</v>
      </c>
      <c r="H494">
        <v>2</v>
      </c>
      <c r="I494">
        <v>147.32</v>
      </c>
      <c r="J494">
        <v>5</v>
      </c>
      <c r="K494">
        <v>279.91000000000003</v>
      </c>
      <c r="L494">
        <v>104.82</v>
      </c>
      <c r="M494">
        <v>209.64</v>
      </c>
      <c r="N494">
        <v>29</v>
      </c>
      <c r="O494" t="s">
        <v>19</v>
      </c>
      <c r="P494" t="s">
        <v>43</v>
      </c>
    </row>
    <row r="495" spans="1:16">
      <c r="A495">
        <v>100538</v>
      </c>
      <c r="B495" s="4">
        <v>45880</v>
      </c>
      <c r="C495" t="s">
        <v>543</v>
      </c>
      <c r="D495" t="s">
        <v>70</v>
      </c>
      <c r="E495" t="s">
        <v>25</v>
      </c>
      <c r="F495" t="s">
        <v>1237</v>
      </c>
      <c r="G495" t="s">
        <v>31</v>
      </c>
      <c r="H495">
        <v>4</v>
      </c>
      <c r="I495">
        <v>153.51</v>
      </c>
      <c r="J495">
        <v>10</v>
      </c>
      <c r="K495">
        <v>552.64</v>
      </c>
      <c r="L495">
        <v>160.62</v>
      </c>
      <c r="M495">
        <v>642.48</v>
      </c>
      <c r="N495">
        <v>16</v>
      </c>
      <c r="O495" t="s">
        <v>19</v>
      </c>
      <c r="P495" t="s">
        <v>35</v>
      </c>
    </row>
    <row r="496" spans="1:16">
      <c r="A496">
        <v>100661</v>
      </c>
      <c r="B496" s="4">
        <v>45882</v>
      </c>
      <c r="C496" t="s">
        <v>560</v>
      </c>
      <c r="D496" t="s">
        <v>70</v>
      </c>
      <c r="E496" t="s">
        <v>25</v>
      </c>
      <c r="F496" t="s">
        <v>1241</v>
      </c>
      <c r="G496" t="s">
        <v>31</v>
      </c>
      <c r="H496">
        <v>3</v>
      </c>
      <c r="I496">
        <v>142.51</v>
      </c>
      <c r="J496">
        <v>0</v>
      </c>
      <c r="K496">
        <v>427.53</v>
      </c>
      <c r="L496">
        <v>157.68</v>
      </c>
      <c r="M496">
        <v>473.04</v>
      </c>
      <c r="N496">
        <v>32</v>
      </c>
      <c r="O496" t="s">
        <v>19</v>
      </c>
      <c r="P496" t="s">
        <v>81</v>
      </c>
    </row>
    <row r="497" spans="1:16">
      <c r="A497">
        <v>100310</v>
      </c>
      <c r="B497" s="4">
        <v>44928</v>
      </c>
      <c r="C497" t="s">
        <v>559</v>
      </c>
      <c r="D497" t="s">
        <v>73</v>
      </c>
      <c r="E497" t="s">
        <v>25</v>
      </c>
      <c r="F497" t="s">
        <v>1241</v>
      </c>
      <c r="G497" t="s">
        <v>18</v>
      </c>
      <c r="H497">
        <v>5</v>
      </c>
      <c r="I497">
        <v>36.36</v>
      </c>
      <c r="J497">
        <v>5</v>
      </c>
      <c r="K497">
        <v>172.71</v>
      </c>
      <c r="L497">
        <v>44.5</v>
      </c>
      <c r="M497">
        <v>222.5</v>
      </c>
      <c r="N497">
        <v>25</v>
      </c>
      <c r="O497" t="s">
        <v>19</v>
      </c>
      <c r="P497" t="s">
        <v>81</v>
      </c>
    </row>
    <row r="498" spans="1:16">
      <c r="A498">
        <v>101137</v>
      </c>
      <c r="B498" s="4">
        <v>45358</v>
      </c>
      <c r="C498" t="s">
        <v>105</v>
      </c>
      <c r="D498" t="s">
        <v>87</v>
      </c>
      <c r="E498" t="s">
        <v>25</v>
      </c>
      <c r="F498" t="s">
        <v>1241</v>
      </c>
      <c r="G498" t="s">
        <v>18</v>
      </c>
      <c r="H498">
        <v>5</v>
      </c>
      <c r="I498">
        <v>88.63</v>
      </c>
      <c r="J498">
        <v>10</v>
      </c>
      <c r="K498">
        <v>398.83</v>
      </c>
      <c r="L498">
        <v>94.16</v>
      </c>
      <c r="M498">
        <v>470.79999999999995</v>
      </c>
      <c r="N498">
        <v>22</v>
      </c>
      <c r="O498" t="s">
        <v>26</v>
      </c>
      <c r="P498" t="s">
        <v>81</v>
      </c>
    </row>
    <row r="499" spans="1:16">
      <c r="A499">
        <v>100196</v>
      </c>
      <c r="B499" s="4">
        <v>45001</v>
      </c>
      <c r="C499" t="s">
        <v>555</v>
      </c>
      <c r="D499" t="s">
        <v>70</v>
      </c>
      <c r="E499" t="s">
        <v>25</v>
      </c>
      <c r="F499" t="s">
        <v>1238</v>
      </c>
      <c r="G499" t="s">
        <v>31</v>
      </c>
      <c r="H499">
        <v>3</v>
      </c>
      <c r="I499">
        <v>161.19</v>
      </c>
      <c r="J499">
        <v>20</v>
      </c>
      <c r="K499">
        <v>386.86</v>
      </c>
      <c r="L499">
        <v>132.94999999999999</v>
      </c>
      <c r="M499">
        <v>398.84999999999997</v>
      </c>
      <c r="N499">
        <v>31</v>
      </c>
      <c r="O499" t="s">
        <v>26</v>
      </c>
      <c r="P499" t="s">
        <v>35</v>
      </c>
    </row>
    <row r="500" spans="1:16">
      <c r="A500">
        <v>101185</v>
      </c>
      <c r="B500" s="4">
        <v>45768</v>
      </c>
      <c r="C500" t="s">
        <v>547</v>
      </c>
      <c r="D500" t="s">
        <v>100</v>
      </c>
      <c r="E500" t="s">
        <v>25</v>
      </c>
      <c r="F500" t="s">
        <v>1239</v>
      </c>
      <c r="G500" t="s">
        <v>31</v>
      </c>
      <c r="H500">
        <v>3</v>
      </c>
      <c r="I500">
        <v>142.61000000000001</v>
      </c>
      <c r="J500">
        <v>0</v>
      </c>
      <c r="K500">
        <v>427.83</v>
      </c>
      <c r="L500">
        <v>125.1</v>
      </c>
      <c r="M500">
        <v>375.29999999999995</v>
      </c>
      <c r="N500">
        <v>42</v>
      </c>
      <c r="O500" t="s">
        <v>26</v>
      </c>
      <c r="P500" t="s">
        <v>81</v>
      </c>
    </row>
    <row r="501" spans="1:16">
      <c r="A501">
        <v>101075</v>
      </c>
      <c r="B501" s="4">
        <v>45688</v>
      </c>
      <c r="C501" t="s">
        <v>548</v>
      </c>
      <c r="D501" t="s">
        <v>68</v>
      </c>
      <c r="E501" t="s">
        <v>25</v>
      </c>
      <c r="F501" t="s">
        <v>1237</v>
      </c>
      <c r="G501" t="s">
        <v>18</v>
      </c>
      <c r="H501">
        <v>2</v>
      </c>
      <c r="I501">
        <v>244.85</v>
      </c>
      <c r="J501">
        <v>0</v>
      </c>
      <c r="K501">
        <v>489.7</v>
      </c>
      <c r="L501">
        <v>155.19</v>
      </c>
      <c r="M501">
        <v>310.38</v>
      </c>
      <c r="N501">
        <v>22</v>
      </c>
      <c r="O501" t="s">
        <v>26</v>
      </c>
      <c r="P501" t="s">
        <v>43</v>
      </c>
    </row>
    <row r="502" spans="1:16">
      <c r="A502">
        <v>100554</v>
      </c>
      <c r="B502" s="4">
        <v>45218</v>
      </c>
      <c r="C502" t="s">
        <v>551</v>
      </c>
      <c r="D502" t="s">
        <v>100</v>
      </c>
      <c r="E502" t="s">
        <v>25</v>
      </c>
      <c r="F502" t="s">
        <v>1241</v>
      </c>
      <c r="G502" t="s">
        <v>48</v>
      </c>
      <c r="H502">
        <v>3</v>
      </c>
      <c r="I502">
        <v>111.07</v>
      </c>
      <c r="J502">
        <v>10</v>
      </c>
      <c r="K502">
        <v>299.89</v>
      </c>
      <c r="L502">
        <v>94.02</v>
      </c>
      <c r="M502">
        <v>282.06</v>
      </c>
      <c r="N502">
        <v>20</v>
      </c>
      <c r="O502" t="s">
        <v>26</v>
      </c>
      <c r="P502" t="s">
        <v>51</v>
      </c>
    </row>
    <row r="503" spans="1:16">
      <c r="A503">
        <v>100436</v>
      </c>
      <c r="B503" s="4">
        <v>45654</v>
      </c>
      <c r="C503" t="s">
        <v>550</v>
      </c>
      <c r="D503" t="s">
        <v>87</v>
      </c>
      <c r="E503" t="s">
        <v>25</v>
      </c>
      <c r="F503" t="s">
        <v>1237</v>
      </c>
      <c r="G503" t="s">
        <v>31</v>
      </c>
      <c r="H503">
        <v>3</v>
      </c>
      <c r="I503">
        <v>89.53</v>
      </c>
      <c r="J503">
        <v>0</v>
      </c>
      <c r="K503">
        <v>268.58999999999997</v>
      </c>
      <c r="L503">
        <v>86.24</v>
      </c>
      <c r="M503">
        <v>258.71999999999997</v>
      </c>
      <c r="N503">
        <v>19</v>
      </c>
      <c r="O503" t="s">
        <v>19</v>
      </c>
      <c r="P503" t="s">
        <v>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F83B1-A0B9-4A32-AD2E-5DAB11EC6693}">
  <dimension ref="A1:P503"/>
  <sheetViews>
    <sheetView workbookViewId="0">
      <selection sqref="A1:P503"/>
    </sheetView>
  </sheetViews>
  <sheetFormatPr defaultRowHeight="14.25"/>
  <cols>
    <col min="1" max="1" width="10.125" customWidth="1"/>
    <col min="2" max="2" width="12.375" customWidth="1"/>
    <col min="4" max="4" width="15.25" customWidth="1"/>
    <col min="5" max="5" width="10.25" customWidth="1"/>
    <col min="7" max="7" width="12.375" customWidth="1"/>
    <col min="8" max="8" width="11.875" customWidth="1"/>
    <col min="9" max="9" width="11.375" customWidth="1"/>
    <col min="10" max="11" width="10.125" customWidth="1"/>
    <col min="13" max="13" width="12" customWidth="1"/>
    <col min="14" max="14" width="15.25" customWidth="1"/>
    <col min="15" max="15" width="8.875" customWidth="1"/>
    <col min="16" max="16" width="17.25" customWidth="1"/>
  </cols>
  <sheetData>
    <row r="1" spans="1:16">
      <c r="A1" t="s">
        <v>0</v>
      </c>
      <c r="B1" t="s">
        <v>1</v>
      </c>
      <c r="C1" t="s">
        <v>2</v>
      </c>
      <c r="D1" t="s">
        <v>3</v>
      </c>
      <c r="E1" t="s">
        <v>4</v>
      </c>
      <c r="F1" t="s">
        <v>5</v>
      </c>
      <c r="G1" t="s">
        <v>6</v>
      </c>
      <c r="H1" t="s">
        <v>7</v>
      </c>
      <c r="I1" t="s">
        <v>8</v>
      </c>
      <c r="J1" t="s">
        <v>9</v>
      </c>
      <c r="K1" t="s">
        <v>10</v>
      </c>
      <c r="L1" t="s">
        <v>11</v>
      </c>
      <c r="M1" t="s">
        <v>1252</v>
      </c>
      <c r="N1" t="s">
        <v>12</v>
      </c>
      <c r="O1" t="s">
        <v>13</v>
      </c>
      <c r="P1" t="s">
        <v>14</v>
      </c>
    </row>
    <row r="2" spans="1:16">
      <c r="A2">
        <v>101126</v>
      </c>
      <c r="B2" s="4">
        <v>45875</v>
      </c>
      <c r="C2" t="s">
        <v>1236</v>
      </c>
      <c r="D2" t="s">
        <v>87</v>
      </c>
      <c r="E2" t="s">
        <v>25</v>
      </c>
      <c r="F2" t="s">
        <v>1241</v>
      </c>
      <c r="G2" t="s">
        <v>18</v>
      </c>
      <c r="H2">
        <v>6</v>
      </c>
      <c r="I2">
        <v>72.03</v>
      </c>
      <c r="J2">
        <v>20</v>
      </c>
      <c r="K2">
        <v>345.74</v>
      </c>
      <c r="L2">
        <v>94.24</v>
      </c>
      <c r="M2">
        <v>565.43999999999994</v>
      </c>
      <c r="N2">
        <v>31</v>
      </c>
      <c r="O2" t="s">
        <v>26</v>
      </c>
      <c r="P2" t="s">
        <v>35</v>
      </c>
    </row>
    <row r="3" spans="1:16">
      <c r="A3">
        <v>100860</v>
      </c>
      <c r="B3" s="4">
        <v>45172</v>
      </c>
      <c r="C3" t="s">
        <v>1235</v>
      </c>
      <c r="D3" t="s">
        <v>100</v>
      </c>
      <c r="E3" t="s">
        <v>25</v>
      </c>
      <c r="F3" t="s">
        <v>1238</v>
      </c>
      <c r="G3" t="s">
        <v>31</v>
      </c>
      <c r="H3">
        <v>4</v>
      </c>
      <c r="I3">
        <v>142.77000000000001</v>
      </c>
      <c r="J3">
        <v>0</v>
      </c>
      <c r="K3">
        <v>571.08000000000004</v>
      </c>
      <c r="L3">
        <v>170.99</v>
      </c>
      <c r="M3">
        <v>683.96</v>
      </c>
      <c r="N3">
        <v>40</v>
      </c>
      <c r="O3" t="s">
        <v>26</v>
      </c>
      <c r="P3" t="s">
        <v>27</v>
      </c>
    </row>
    <row r="4" spans="1:16">
      <c r="A4">
        <v>100101</v>
      </c>
      <c r="B4" s="4">
        <v>45559</v>
      </c>
      <c r="C4" t="s">
        <v>23</v>
      </c>
      <c r="D4" t="s">
        <v>24</v>
      </c>
      <c r="E4" t="s">
        <v>25</v>
      </c>
      <c r="F4" t="s">
        <v>1237</v>
      </c>
      <c r="G4" t="s">
        <v>18</v>
      </c>
      <c r="H4">
        <v>3</v>
      </c>
      <c r="I4">
        <v>96.58</v>
      </c>
      <c r="J4">
        <v>20</v>
      </c>
      <c r="K4">
        <v>231.79</v>
      </c>
      <c r="L4">
        <v>61.86</v>
      </c>
      <c r="M4">
        <v>185.57999999999998</v>
      </c>
      <c r="N4">
        <v>34</v>
      </c>
      <c r="O4" t="s">
        <v>26</v>
      </c>
      <c r="P4" t="s">
        <v>27</v>
      </c>
    </row>
    <row r="5" spans="1:16">
      <c r="A5">
        <v>101130</v>
      </c>
      <c r="B5" s="4">
        <v>45096</v>
      </c>
      <c r="C5" t="s">
        <v>1234</v>
      </c>
      <c r="D5" t="s">
        <v>73</v>
      </c>
      <c r="E5" t="s">
        <v>25</v>
      </c>
      <c r="F5" t="s">
        <v>1238</v>
      </c>
      <c r="G5" t="s">
        <v>48</v>
      </c>
      <c r="H5">
        <v>3</v>
      </c>
      <c r="I5">
        <v>31</v>
      </c>
      <c r="J5">
        <v>0</v>
      </c>
      <c r="K5">
        <v>93</v>
      </c>
      <c r="L5">
        <v>28.22</v>
      </c>
      <c r="M5">
        <v>84.66</v>
      </c>
      <c r="N5">
        <v>34</v>
      </c>
      <c r="O5" t="s">
        <v>26</v>
      </c>
      <c r="P5" t="s">
        <v>20</v>
      </c>
    </row>
    <row r="6" spans="1:16">
      <c r="A6">
        <v>101044</v>
      </c>
      <c r="B6" s="4">
        <v>45640</v>
      </c>
      <c r="C6" t="s">
        <v>1232</v>
      </c>
      <c r="D6" t="s">
        <v>68</v>
      </c>
      <c r="E6" t="s">
        <v>25</v>
      </c>
      <c r="F6" t="s">
        <v>1240</v>
      </c>
      <c r="G6" t="s">
        <v>18</v>
      </c>
      <c r="H6">
        <v>2</v>
      </c>
      <c r="I6">
        <v>220.12</v>
      </c>
      <c r="J6">
        <v>5</v>
      </c>
      <c r="K6">
        <v>418.23</v>
      </c>
      <c r="L6">
        <v>108.68</v>
      </c>
      <c r="M6">
        <v>217.36</v>
      </c>
      <c r="N6">
        <v>36</v>
      </c>
      <c r="O6" t="s">
        <v>19</v>
      </c>
      <c r="P6" t="s">
        <v>51</v>
      </c>
    </row>
    <row r="7" spans="1:16">
      <c r="A7">
        <v>100330</v>
      </c>
      <c r="B7" s="4">
        <v>45262</v>
      </c>
      <c r="C7" t="s">
        <v>1229</v>
      </c>
      <c r="D7" t="s">
        <v>24</v>
      </c>
      <c r="E7" t="s">
        <v>25</v>
      </c>
      <c r="F7" t="s">
        <v>1241</v>
      </c>
      <c r="G7" t="s">
        <v>18</v>
      </c>
      <c r="H7">
        <v>4</v>
      </c>
      <c r="I7">
        <v>95.63</v>
      </c>
      <c r="J7">
        <v>0</v>
      </c>
      <c r="K7">
        <v>382.52</v>
      </c>
      <c r="L7">
        <v>105.82</v>
      </c>
      <c r="M7">
        <v>423.28</v>
      </c>
      <c r="N7">
        <v>32</v>
      </c>
      <c r="O7" t="s">
        <v>19</v>
      </c>
      <c r="P7" t="s">
        <v>20</v>
      </c>
    </row>
    <row r="8" spans="1:16">
      <c r="A8">
        <v>100323</v>
      </c>
      <c r="B8" s="4">
        <v>45049</v>
      </c>
      <c r="C8" t="s">
        <v>38</v>
      </c>
      <c r="D8" t="s">
        <v>39</v>
      </c>
      <c r="E8" t="s">
        <v>25</v>
      </c>
      <c r="F8" t="s">
        <v>1237</v>
      </c>
      <c r="G8" t="s">
        <v>18</v>
      </c>
      <c r="H8">
        <v>4</v>
      </c>
      <c r="I8">
        <v>182.16</v>
      </c>
      <c r="J8">
        <v>0</v>
      </c>
      <c r="K8">
        <v>728.64</v>
      </c>
      <c r="L8">
        <v>227.81</v>
      </c>
      <c r="M8">
        <v>911.24</v>
      </c>
      <c r="N8">
        <v>29</v>
      </c>
      <c r="O8" t="s">
        <v>19</v>
      </c>
      <c r="P8" t="s">
        <v>20</v>
      </c>
    </row>
    <row r="9" spans="1:16">
      <c r="A9">
        <v>100087</v>
      </c>
      <c r="B9" s="4">
        <v>45708</v>
      </c>
      <c r="C9" t="s">
        <v>1228</v>
      </c>
      <c r="D9" t="s">
        <v>42</v>
      </c>
      <c r="E9" t="s">
        <v>25</v>
      </c>
      <c r="F9" t="s">
        <v>1237</v>
      </c>
      <c r="G9" t="s">
        <v>48</v>
      </c>
      <c r="H9">
        <v>2</v>
      </c>
      <c r="I9">
        <v>149.85</v>
      </c>
      <c r="J9">
        <v>5</v>
      </c>
      <c r="K9">
        <v>284.70999999999998</v>
      </c>
      <c r="L9">
        <v>83.89</v>
      </c>
      <c r="M9">
        <v>167.78</v>
      </c>
      <c r="N9">
        <v>21</v>
      </c>
      <c r="O9" t="s">
        <v>26</v>
      </c>
      <c r="P9" t="s">
        <v>32</v>
      </c>
    </row>
    <row r="10" spans="1:16">
      <c r="A10">
        <v>100411</v>
      </c>
      <c r="B10" s="4">
        <v>45229</v>
      </c>
      <c r="C10" t="s">
        <v>41</v>
      </c>
      <c r="D10" t="s">
        <v>42</v>
      </c>
      <c r="E10" t="s">
        <v>25</v>
      </c>
      <c r="F10" t="s">
        <v>1238</v>
      </c>
      <c r="G10" t="s">
        <v>18</v>
      </c>
      <c r="H10">
        <v>3</v>
      </c>
      <c r="I10">
        <v>152.09</v>
      </c>
      <c r="J10">
        <v>10</v>
      </c>
      <c r="K10">
        <v>410.64</v>
      </c>
      <c r="L10">
        <v>93.96</v>
      </c>
      <c r="M10">
        <v>281.88</v>
      </c>
      <c r="N10">
        <v>27</v>
      </c>
      <c r="O10" t="s">
        <v>19</v>
      </c>
      <c r="P10" t="s">
        <v>43</v>
      </c>
    </row>
    <row r="11" spans="1:16">
      <c r="A11">
        <v>101123</v>
      </c>
      <c r="B11" s="4">
        <v>45861</v>
      </c>
      <c r="C11" t="s">
        <v>1227</v>
      </c>
      <c r="D11" t="s">
        <v>73</v>
      </c>
      <c r="E11" t="s">
        <v>25</v>
      </c>
      <c r="F11" t="s">
        <v>1238</v>
      </c>
      <c r="G11" t="s">
        <v>18</v>
      </c>
      <c r="H11">
        <v>3</v>
      </c>
      <c r="I11">
        <v>33.9</v>
      </c>
      <c r="J11">
        <v>5</v>
      </c>
      <c r="K11">
        <v>96.61</v>
      </c>
      <c r="L11">
        <v>33.520000000000003</v>
      </c>
      <c r="M11">
        <v>100.56</v>
      </c>
      <c r="N11">
        <v>20</v>
      </c>
      <c r="O11" t="s">
        <v>26</v>
      </c>
      <c r="P11" t="s">
        <v>27</v>
      </c>
    </row>
    <row r="12" spans="1:16">
      <c r="A12">
        <v>100871</v>
      </c>
      <c r="B12" s="4">
        <v>45774</v>
      </c>
      <c r="C12" t="s">
        <v>1226</v>
      </c>
      <c r="D12" t="s">
        <v>100</v>
      </c>
      <c r="E12" t="s">
        <v>25</v>
      </c>
      <c r="F12" t="s">
        <v>1241</v>
      </c>
      <c r="G12" t="s">
        <v>31</v>
      </c>
      <c r="H12">
        <v>5</v>
      </c>
      <c r="I12">
        <v>127.61</v>
      </c>
      <c r="J12">
        <v>5</v>
      </c>
      <c r="K12">
        <v>606.15</v>
      </c>
      <c r="L12">
        <v>149.27000000000001</v>
      </c>
      <c r="M12">
        <v>746.35</v>
      </c>
      <c r="N12">
        <v>30</v>
      </c>
      <c r="O12" t="s">
        <v>19</v>
      </c>
      <c r="P12" t="s">
        <v>81</v>
      </c>
    </row>
    <row r="13" spans="1:16">
      <c r="A13">
        <v>100769</v>
      </c>
      <c r="B13" s="4">
        <v>45643</v>
      </c>
      <c r="C13" t="s">
        <v>1224</v>
      </c>
      <c r="D13" t="s">
        <v>87</v>
      </c>
      <c r="E13" t="s">
        <v>25</v>
      </c>
      <c r="F13" t="s">
        <v>1238</v>
      </c>
      <c r="G13" t="s">
        <v>31</v>
      </c>
      <c r="H13">
        <v>3</v>
      </c>
      <c r="I13">
        <v>79.709999999999994</v>
      </c>
      <c r="J13">
        <v>5</v>
      </c>
      <c r="K13">
        <v>227.17</v>
      </c>
      <c r="L13">
        <v>58.6</v>
      </c>
      <c r="M13">
        <v>175.8</v>
      </c>
      <c r="N13">
        <v>35</v>
      </c>
      <c r="O13" t="s">
        <v>19</v>
      </c>
      <c r="P13" t="s">
        <v>35</v>
      </c>
    </row>
    <row r="14" spans="1:16">
      <c r="A14">
        <v>100343</v>
      </c>
      <c r="B14" s="4">
        <v>45866</v>
      </c>
      <c r="C14" t="s">
        <v>1223</v>
      </c>
      <c r="D14" t="s">
        <v>24</v>
      </c>
      <c r="E14" t="s">
        <v>25</v>
      </c>
      <c r="F14" t="s">
        <v>1241</v>
      </c>
      <c r="G14" t="s">
        <v>48</v>
      </c>
      <c r="H14">
        <v>2</v>
      </c>
      <c r="I14">
        <v>96.12</v>
      </c>
      <c r="J14">
        <v>10</v>
      </c>
      <c r="K14">
        <v>173.02</v>
      </c>
      <c r="L14">
        <v>65.849999999999994</v>
      </c>
      <c r="M14">
        <v>131.69999999999999</v>
      </c>
      <c r="N14">
        <v>37</v>
      </c>
      <c r="O14" t="s">
        <v>26</v>
      </c>
      <c r="P14" t="s">
        <v>35</v>
      </c>
    </row>
    <row r="15" spans="1:16">
      <c r="A15">
        <v>100385</v>
      </c>
      <c r="B15" s="4">
        <v>45427</v>
      </c>
      <c r="C15" t="s">
        <v>1221</v>
      </c>
      <c r="D15" t="s">
        <v>100</v>
      </c>
      <c r="E15" t="s">
        <v>25</v>
      </c>
      <c r="F15" t="s">
        <v>1240</v>
      </c>
      <c r="G15" t="s">
        <v>31</v>
      </c>
      <c r="H15">
        <v>3</v>
      </c>
      <c r="I15">
        <v>130.16</v>
      </c>
      <c r="J15">
        <v>5</v>
      </c>
      <c r="K15">
        <v>370.96</v>
      </c>
      <c r="L15">
        <v>126.59</v>
      </c>
      <c r="M15">
        <v>379.77</v>
      </c>
      <c r="N15">
        <v>23</v>
      </c>
      <c r="O15" t="s">
        <v>19</v>
      </c>
      <c r="P15" t="s">
        <v>43</v>
      </c>
    </row>
    <row r="16" spans="1:16">
      <c r="A16">
        <v>100747</v>
      </c>
      <c r="B16" s="4">
        <v>45828</v>
      </c>
      <c r="C16" t="s">
        <v>1215</v>
      </c>
      <c r="D16" t="s">
        <v>87</v>
      </c>
      <c r="E16" t="s">
        <v>25</v>
      </c>
      <c r="F16" t="s">
        <v>1238</v>
      </c>
      <c r="G16" t="s">
        <v>18</v>
      </c>
      <c r="H16">
        <v>2</v>
      </c>
      <c r="I16">
        <v>82.82</v>
      </c>
      <c r="J16">
        <v>5</v>
      </c>
      <c r="K16">
        <v>157.36000000000001</v>
      </c>
      <c r="L16">
        <v>60.14</v>
      </c>
      <c r="M16">
        <v>120.28</v>
      </c>
      <c r="N16">
        <v>32</v>
      </c>
      <c r="O16" t="s">
        <v>26</v>
      </c>
      <c r="P16" t="s">
        <v>81</v>
      </c>
    </row>
    <row r="17" spans="1:16">
      <c r="A17">
        <v>101082</v>
      </c>
      <c r="B17" s="4">
        <v>44993</v>
      </c>
      <c r="C17" t="s">
        <v>1212</v>
      </c>
      <c r="D17" t="s">
        <v>73</v>
      </c>
      <c r="E17" t="s">
        <v>25</v>
      </c>
      <c r="F17" t="s">
        <v>1237</v>
      </c>
      <c r="G17" t="s">
        <v>18</v>
      </c>
      <c r="H17">
        <v>2</v>
      </c>
      <c r="I17">
        <v>36.950000000000003</v>
      </c>
      <c r="J17">
        <v>0</v>
      </c>
      <c r="K17">
        <v>73.900000000000006</v>
      </c>
      <c r="L17">
        <v>19.079999999999998</v>
      </c>
      <c r="M17">
        <v>38.159999999999997</v>
      </c>
      <c r="N17">
        <v>33</v>
      </c>
      <c r="O17" t="s">
        <v>19</v>
      </c>
      <c r="P17" t="s">
        <v>81</v>
      </c>
    </row>
    <row r="18" spans="1:16">
      <c r="A18">
        <v>100975</v>
      </c>
      <c r="B18" s="4">
        <v>45548</v>
      </c>
      <c r="C18" t="s">
        <v>1209</v>
      </c>
      <c r="D18" t="s">
        <v>73</v>
      </c>
      <c r="E18" t="s">
        <v>25</v>
      </c>
      <c r="F18" t="s">
        <v>1239</v>
      </c>
      <c r="G18" t="s">
        <v>48</v>
      </c>
      <c r="H18">
        <v>4</v>
      </c>
      <c r="I18">
        <v>37.32</v>
      </c>
      <c r="J18">
        <v>0</v>
      </c>
      <c r="K18">
        <v>149.28</v>
      </c>
      <c r="L18">
        <v>45.58</v>
      </c>
      <c r="M18">
        <v>182.32</v>
      </c>
      <c r="N18">
        <v>21</v>
      </c>
      <c r="O18" t="s">
        <v>19</v>
      </c>
      <c r="P18" t="s">
        <v>81</v>
      </c>
    </row>
    <row r="19" spans="1:16">
      <c r="A19">
        <v>100189</v>
      </c>
      <c r="B19" s="4">
        <v>45553</v>
      </c>
      <c r="C19" t="s">
        <v>1208</v>
      </c>
      <c r="D19" t="s">
        <v>24</v>
      </c>
      <c r="E19" t="s">
        <v>25</v>
      </c>
      <c r="F19" t="s">
        <v>1238</v>
      </c>
      <c r="G19" t="s">
        <v>31</v>
      </c>
      <c r="H19">
        <v>1</v>
      </c>
      <c r="I19">
        <v>79.48</v>
      </c>
      <c r="J19">
        <v>10</v>
      </c>
      <c r="K19">
        <v>71.53</v>
      </c>
      <c r="L19">
        <v>20.5</v>
      </c>
      <c r="M19">
        <v>20.5</v>
      </c>
      <c r="N19">
        <v>29</v>
      </c>
      <c r="O19" t="s">
        <v>26</v>
      </c>
      <c r="P19" t="s">
        <v>32</v>
      </c>
    </row>
    <row r="20" spans="1:16">
      <c r="A20">
        <v>100686</v>
      </c>
      <c r="B20" s="4">
        <v>45214</v>
      </c>
      <c r="C20" t="s">
        <v>1206</v>
      </c>
      <c r="D20" t="s">
        <v>68</v>
      </c>
      <c r="E20" t="s">
        <v>25</v>
      </c>
      <c r="F20" t="s">
        <v>1238</v>
      </c>
      <c r="G20" t="s">
        <v>18</v>
      </c>
      <c r="H20">
        <v>4</v>
      </c>
      <c r="I20">
        <v>230.61</v>
      </c>
      <c r="J20">
        <v>10</v>
      </c>
      <c r="K20">
        <v>830.2</v>
      </c>
      <c r="L20">
        <v>213.75</v>
      </c>
      <c r="M20">
        <v>855</v>
      </c>
      <c r="N20">
        <v>34</v>
      </c>
      <c r="O20" t="s">
        <v>19</v>
      </c>
      <c r="P20" t="s">
        <v>51</v>
      </c>
    </row>
    <row r="21" spans="1:16">
      <c r="A21">
        <v>100562</v>
      </c>
      <c r="B21" s="4">
        <v>45271</v>
      </c>
      <c r="C21" t="s">
        <v>1204</v>
      </c>
      <c r="D21" t="s">
        <v>24</v>
      </c>
      <c r="E21" t="s">
        <v>25</v>
      </c>
      <c r="F21" t="s">
        <v>1237</v>
      </c>
      <c r="G21" t="s">
        <v>31</v>
      </c>
      <c r="H21">
        <v>3</v>
      </c>
      <c r="I21">
        <v>99.23</v>
      </c>
      <c r="J21">
        <v>5</v>
      </c>
      <c r="K21">
        <v>282.81</v>
      </c>
      <c r="L21">
        <v>65.959999999999994</v>
      </c>
      <c r="M21">
        <v>197.88</v>
      </c>
      <c r="N21">
        <v>33</v>
      </c>
      <c r="O21" t="s">
        <v>26</v>
      </c>
      <c r="P21" t="s">
        <v>32</v>
      </c>
    </row>
    <row r="22" spans="1:16">
      <c r="A22">
        <v>100646</v>
      </c>
      <c r="B22" s="4">
        <v>44941</v>
      </c>
      <c r="C22" t="s">
        <v>1201</v>
      </c>
      <c r="D22" t="s">
        <v>87</v>
      </c>
      <c r="E22" t="s">
        <v>25</v>
      </c>
      <c r="F22" t="s">
        <v>1239</v>
      </c>
      <c r="G22" t="s">
        <v>31</v>
      </c>
      <c r="H22">
        <v>4</v>
      </c>
      <c r="I22">
        <v>86.95</v>
      </c>
      <c r="J22">
        <v>0</v>
      </c>
      <c r="K22">
        <v>347.8</v>
      </c>
      <c r="L22">
        <v>60.89</v>
      </c>
      <c r="M22">
        <v>243.56</v>
      </c>
      <c r="N22">
        <v>24</v>
      </c>
      <c r="O22" t="s">
        <v>19</v>
      </c>
      <c r="P22" t="s">
        <v>43</v>
      </c>
    </row>
    <row r="23" spans="1:16">
      <c r="A23">
        <v>100840</v>
      </c>
      <c r="B23" s="4">
        <v>45701</v>
      </c>
      <c r="C23" t="s">
        <v>1199</v>
      </c>
      <c r="D23" t="s">
        <v>87</v>
      </c>
      <c r="E23" t="s">
        <v>25</v>
      </c>
      <c r="F23" t="s">
        <v>1237</v>
      </c>
      <c r="G23" t="s">
        <v>18</v>
      </c>
      <c r="H23">
        <v>2</v>
      </c>
      <c r="I23">
        <v>79.25</v>
      </c>
      <c r="J23">
        <v>5</v>
      </c>
      <c r="K23">
        <v>150.57</v>
      </c>
      <c r="L23">
        <v>49.34</v>
      </c>
      <c r="M23">
        <v>98.68</v>
      </c>
      <c r="N23">
        <v>33</v>
      </c>
      <c r="O23" t="s">
        <v>26</v>
      </c>
      <c r="P23" t="s">
        <v>51</v>
      </c>
    </row>
    <row r="24" spans="1:16">
      <c r="A24">
        <v>100676</v>
      </c>
      <c r="B24" s="4">
        <v>45635</v>
      </c>
      <c r="C24" t="s">
        <v>67</v>
      </c>
      <c r="D24" t="s">
        <v>68</v>
      </c>
      <c r="E24" t="s">
        <v>25</v>
      </c>
      <c r="F24" t="s">
        <v>1237</v>
      </c>
      <c r="G24" t="s">
        <v>31</v>
      </c>
      <c r="H24">
        <v>3</v>
      </c>
      <c r="I24">
        <v>226.72</v>
      </c>
      <c r="J24">
        <v>20</v>
      </c>
      <c r="K24">
        <v>544.13</v>
      </c>
      <c r="L24">
        <v>140.88999999999999</v>
      </c>
      <c r="M24">
        <v>422.66999999999996</v>
      </c>
      <c r="N24">
        <v>16</v>
      </c>
      <c r="O24" t="s">
        <v>26</v>
      </c>
      <c r="P24" t="s">
        <v>35</v>
      </c>
    </row>
    <row r="25" spans="1:16">
      <c r="A25">
        <v>100344</v>
      </c>
      <c r="B25" s="4">
        <v>45052</v>
      </c>
      <c r="C25" t="s">
        <v>69</v>
      </c>
      <c r="D25" t="s">
        <v>70</v>
      </c>
      <c r="E25" t="s">
        <v>25</v>
      </c>
      <c r="F25" t="s">
        <v>1241</v>
      </c>
      <c r="G25" t="s">
        <v>64</v>
      </c>
      <c r="H25">
        <v>3</v>
      </c>
      <c r="I25">
        <v>146.78</v>
      </c>
      <c r="J25">
        <v>0</v>
      </c>
      <c r="K25">
        <v>440.34</v>
      </c>
      <c r="L25">
        <v>112.48</v>
      </c>
      <c r="M25">
        <v>337.44</v>
      </c>
      <c r="N25">
        <v>42</v>
      </c>
      <c r="O25" t="s">
        <v>26</v>
      </c>
      <c r="P25" t="s">
        <v>32</v>
      </c>
    </row>
    <row r="26" spans="1:16">
      <c r="A26">
        <v>100387</v>
      </c>
      <c r="B26" s="4">
        <v>45620</v>
      </c>
      <c r="C26" t="s">
        <v>1197</v>
      </c>
      <c r="D26" t="s">
        <v>73</v>
      </c>
      <c r="E26" t="s">
        <v>25</v>
      </c>
      <c r="F26" t="s">
        <v>1238</v>
      </c>
      <c r="G26" t="s">
        <v>18</v>
      </c>
      <c r="H26">
        <v>5</v>
      </c>
      <c r="I26">
        <v>37.450000000000003</v>
      </c>
      <c r="J26">
        <v>40</v>
      </c>
      <c r="K26">
        <v>112.35</v>
      </c>
      <c r="L26">
        <v>33.340000000000003</v>
      </c>
      <c r="M26">
        <v>166.70000000000002</v>
      </c>
      <c r="N26">
        <v>45</v>
      </c>
      <c r="O26" t="s">
        <v>19</v>
      </c>
      <c r="P26" t="s">
        <v>81</v>
      </c>
    </row>
    <row r="27" spans="1:16">
      <c r="A27">
        <v>100277</v>
      </c>
      <c r="B27" s="4">
        <v>45892</v>
      </c>
      <c r="C27" t="s">
        <v>72</v>
      </c>
      <c r="D27" t="s">
        <v>73</v>
      </c>
      <c r="E27" t="s">
        <v>25</v>
      </c>
      <c r="F27" t="s">
        <v>1241</v>
      </c>
      <c r="G27" t="s">
        <v>31</v>
      </c>
      <c r="H27">
        <v>4</v>
      </c>
      <c r="I27">
        <v>34.950000000000003</v>
      </c>
      <c r="J27">
        <v>5</v>
      </c>
      <c r="K27">
        <v>132.81</v>
      </c>
      <c r="L27">
        <v>48.4</v>
      </c>
      <c r="M27">
        <v>193.6</v>
      </c>
      <c r="N27">
        <v>26</v>
      </c>
      <c r="O27" t="s">
        <v>19</v>
      </c>
      <c r="P27" t="s">
        <v>32</v>
      </c>
    </row>
    <row r="28" spans="1:16">
      <c r="A28">
        <v>100315</v>
      </c>
      <c r="B28" s="4">
        <v>45249</v>
      </c>
      <c r="C28" t="s">
        <v>1195</v>
      </c>
      <c r="D28" t="s">
        <v>68</v>
      </c>
      <c r="E28" t="s">
        <v>25</v>
      </c>
      <c r="F28" t="s">
        <v>1237</v>
      </c>
      <c r="G28" t="s">
        <v>18</v>
      </c>
      <c r="H28">
        <v>5</v>
      </c>
      <c r="I28">
        <v>230.5</v>
      </c>
      <c r="J28">
        <v>20</v>
      </c>
      <c r="K28">
        <v>922</v>
      </c>
      <c r="L28">
        <v>337.32</v>
      </c>
      <c r="M28">
        <v>1686.6</v>
      </c>
      <c r="N28">
        <v>29</v>
      </c>
      <c r="O28" t="s">
        <v>19</v>
      </c>
      <c r="P28" t="s">
        <v>20</v>
      </c>
    </row>
    <row r="29" spans="1:16">
      <c r="A29">
        <v>100570</v>
      </c>
      <c r="B29" s="4">
        <v>45188</v>
      </c>
      <c r="C29" t="s">
        <v>75</v>
      </c>
      <c r="D29" t="s">
        <v>42</v>
      </c>
      <c r="E29" t="s">
        <v>25</v>
      </c>
      <c r="F29" t="s">
        <v>1241</v>
      </c>
      <c r="G29" t="s">
        <v>31</v>
      </c>
      <c r="H29">
        <v>3</v>
      </c>
      <c r="I29">
        <v>146.31</v>
      </c>
      <c r="J29">
        <v>10</v>
      </c>
      <c r="K29">
        <v>395.04</v>
      </c>
      <c r="L29">
        <v>83.22</v>
      </c>
      <c r="M29">
        <v>249.66</v>
      </c>
      <c r="N29">
        <v>20</v>
      </c>
      <c r="O29" t="s">
        <v>26</v>
      </c>
      <c r="P29" t="s">
        <v>46</v>
      </c>
    </row>
    <row r="30" spans="1:16">
      <c r="A30">
        <v>100013</v>
      </c>
      <c r="B30" s="4">
        <v>45446</v>
      </c>
      <c r="C30" t="s">
        <v>153</v>
      </c>
      <c r="D30" t="s">
        <v>87</v>
      </c>
      <c r="E30" t="s">
        <v>25</v>
      </c>
      <c r="F30" t="s">
        <v>1241</v>
      </c>
      <c r="G30" t="s">
        <v>31</v>
      </c>
      <c r="H30">
        <v>5</v>
      </c>
      <c r="I30">
        <v>76.87</v>
      </c>
      <c r="J30">
        <v>0</v>
      </c>
      <c r="K30">
        <v>384.35</v>
      </c>
      <c r="L30">
        <v>134</v>
      </c>
      <c r="M30">
        <v>670</v>
      </c>
      <c r="N30">
        <v>36</v>
      </c>
      <c r="O30" t="s">
        <v>19</v>
      </c>
      <c r="P30" t="s">
        <v>35</v>
      </c>
    </row>
    <row r="31" spans="1:16">
      <c r="A31">
        <v>100598</v>
      </c>
      <c r="B31" s="4">
        <v>45109</v>
      </c>
      <c r="C31" t="s">
        <v>78</v>
      </c>
      <c r="D31" t="s">
        <v>42</v>
      </c>
      <c r="E31" t="s">
        <v>25</v>
      </c>
      <c r="F31" t="s">
        <v>1237</v>
      </c>
      <c r="G31" t="s">
        <v>31</v>
      </c>
      <c r="H31">
        <v>3</v>
      </c>
      <c r="I31">
        <v>136.5</v>
      </c>
      <c r="J31">
        <v>0</v>
      </c>
      <c r="K31">
        <v>409.5</v>
      </c>
      <c r="L31">
        <v>106.79</v>
      </c>
      <c r="M31">
        <v>320.37</v>
      </c>
      <c r="N31">
        <v>31</v>
      </c>
      <c r="O31" t="s">
        <v>19</v>
      </c>
      <c r="P31" t="s">
        <v>35</v>
      </c>
    </row>
    <row r="32" spans="1:16">
      <c r="A32">
        <v>100241</v>
      </c>
      <c r="B32" s="4">
        <v>45518</v>
      </c>
      <c r="C32" t="s">
        <v>1194</v>
      </c>
      <c r="D32" t="s">
        <v>100</v>
      </c>
      <c r="E32" t="s">
        <v>25</v>
      </c>
      <c r="F32" t="s">
        <v>1237</v>
      </c>
      <c r="G32" t="s">
        <v>18</v>
      </c>
      <c r="H32">
        <v>5</v>
      </c>
      <c r="I32">
        <v>126.81</v>
      </c>
      <c r="J32">
        <v>0</v>
      </c>
      <c r="K32">
        <v>634.04999999999995</v>
      </c>
      <c r="L32">
        <v>155.59</v>
      </c>
      <c r="M32">
        <v>777.95</v>
      </c>
      <c r="N32">
        <v>27</v>
      </c>
      <c r="O32" t="s">
        <v>19</v>
      </c>
      <c r="P32" t="s">
        <v>51</v>
      </c>
    </row>
    <row r="33" spans="1:16">
      <c r="A33">
        <v>100893</v>
      </c>
      <c r="B33" s="4">
        <v>45263</v>
      </c>
      <c r="C33" t="s">
        <v>80</v>
      </c>
      <c r="D33" t="s">
        <v>42</v>
      </c>
      <c r="E33" t="s">
        <v>25</v>
      </c>
      <c r="F33" t="s">
        <v>1239</v>
      </c>
      <c r="G33" t="s">
        <v>48</v>
      </c>
      <c r="H33">
        <v>5</v>
      </c>
      <c r="I33">
        <v>160.34</v>
      </c>
      <c r="J33">
        <v>10</v>
      </c>
      <c r="K33">
        <v>721.53</v>
      </c>
      <c r="L33">
        <v>215.58</v>
      </c>
      <c r="M33">
        <v>1077.9000000000001</v>
      </c>
      <c r="N33">
        <v>39</v>
      </c>
      <c r="O33" t="s">
        <v>26</v>
      </c>
      <c r="P33" t="s">
        <v>81</v>
      </c>
    </row>
    <row r="34" spans="1:16">
      <c r="A34">
        <v>100692</v>
      </c>
      <c r="B34" s="4">
        <v>45171</v>
      </c>
      <c r="C34" t="s">
        <v>82</v>
      </c>
      <c r="D34" t="s">
        <v>24</v>
      </c>
      <c r="E34" t="s">
        <v>25</v>
      </c>
      <c r="F34" t="s">
        <v>1237</v>
      </c>
      <c r="G34" t="s">
        <v>18</v>
      </c>
      <c r="H34">
        <v>3</v>
      </c>
      <c r="I34">
        <v>84.09</v>
      </c>
      <c r="J34">
        <v>10</v>
      </c>
      <c r="K34">
        <v>227.04</v>
      </c>
      <c r="L34">
        <v>53.17</v>
      </c>
      <c r="M34">
        <v>159.51</v>
      </c>
      <c r="N34">
        <v>30</v>
      </c>
      <c r="O34" t="s">
        <v>26</v>
      </c>
      <c r="P34" t="s">
        <v>81</v>
      </c>
    </row>
    <row r="35" spans="1:16">
      <c r="A35">
        <v>100776</v>
      </c>
      <c r="B35" s="4">
        <v>45707</v>
      </c>
      <c r="C35" t="s">
        <v>1193</v>
      </c>
      <c r="D35" t="s">
        <v>70</v>
      </c>
      <c r="E35" t="s">
        <v>25</v>
      </c>
      <c r="F35" t="s">
        <v>1241</v>
      </c>
      <c r="G35" t="s">
        <v>18</v>
      </c>
      <c r="H35">
        <v>3</v>
      </c>
      <c r="I35">
        <v>151.03</v>
      </c>
      <c r="J35">
        <v>0</v>
      </c>
      <c r="K35">
        <v>453.09</v>
      </c>
      <c r="L35">
        <v>119.01</v>
      </c>
      <c r="M35">
        <v>357.03000000000003</v>
      </c>
      <c r="N35">
        <v>31</v>
      </c>
      <c r="O35" t="s">
        <v>19</v>
      </c>
      <c r="P35" t="s">
        <v>81</v>
      </c>
    </row>
    <row r="36" spans="1:16">
      <c r="A36">
        <v>100564</v>
      </c>
      <c r="B36" s="4">
        <v>45175</v>
      </c>
      <c r="C36" t="s">
        <v>1192</v>
      </c>
      <c r="D36" t="s">
        <v>24</v>
      </c>
      <c r="E36" t="s">
        <v>25</v>
      </c>
      <c r="F36" t="s">
        <v>1238</v>
      </c>
      <c r="G36" t="s">
        <v>31</v>
      </c>
      <c r="H36">
        <v>3</v>
      </c>
      <c r="I36">
        <v>83.45</v>
      </c>
      <c r="J36">
        <v>40</v>
      </c>
      <c r="K36">
        <v>150.21</v>
      </c>
      <c r="L36">
        <v>23.79</v>
      </c>
      <c r="M36">
        <v>71.37</v>
      </c>
      <c r="N36">
        <v>33</v>
      </c>
      <c r="O36" t="s">
        <v>19</v>
      </c>
      <c r="P36" t="s">
        <v>27</v>
      </c>
    </row>
    <row r="37" spans="1:16">
      <c r="A37">
        <v>101183</v>
      </c>
      <c r="B37" s="4">
        <v>44995</v>
      </c>
      <c r="C37" t="s">
        <v>1189</v>
      </c>
      <c r="D37" t="s">
        <v>39</v>
      </c>
      <c r="E37" t="s">
        <v>25</v>
      </c>
      <c r="F37" t="s">
        <v>1239</v>
      </c>
      <c r="G37" t="s">
        <v>31</v>
      </c>
      <c r="H37">
        <v>1</v>
      </c>
      <c r="I37">
        <v>196.24</v>
      </c>
      <c r="J37">
        <v>20</v>
      </c>
      <c r="K37">
        <v>156.99</v>
      </c>
      <c r="L37">
        <v>48.09</v>
      </c>
      <c r="M37">
        <v>48.09</v>
      </c>
      <c r="N37">
        <v>36</v>
      </c>
      <c r="O37" t="s">
        <v>26</v>
      </c>
      <c r="P37" t="s">
        <v>27</v>
      </c>
    </row>
    <row r="38" spans="1:16">
      <c r="A38">
        <v>100427</v>
      </c>
      <c r="B38" s="4">
        <v>45043</v>
      </c>
      <c r="C38" t="s">
        <v>86</v>
      </c>
      <c r="D38" t="s">
        <v>87</v>
      </c>
      <c r="E38" t="s">
        <v>25</v>
      </c>
      <c r="F38" t="s">
        <v>1241</v>
      </c>
      <c r="G38" t="s">
        <v>18</v>
      </c>
      <c r="H38">
        <v>2</v>
      </c>
      <c r="I38">
        <v>87.17</v>
      </c>
      <c r="J38">
        <v>0</v>
      </c>
      <c r="K38">
        <v>174.34</v>
      </c>
      <c r="L38">
        <v>55.33</v>
      </c>
      <c r="M38">
        <v>110.66</v>
      </c>
      <c r="N38">
        <v>26</v>
      </c>
      <c r="O38" t="s">
        <v>19</v>
      </c>
      <c r="P38" t="s">
        <v>20</v>
      </c>
    </row>
    <row r="39" spans="1:16">
      <c r="A39">
        <v>100775</v>
      </c>
      <c r="B39" s="4">
        <v>45771</v>
      </c>
      <c r="C39" t="s">
        <v>1187</v>
      </c>
      <c r="D39" t="s">
        <v>42</v>
      </c>
      <c r="E39" t="s">
        <v>25</v>
      </c>
      <c r="F39" t="s">
        <v>1238</v>
      </c>
      <c r="G39" t="s">
        <v>18</v>
      </c>
      <c r="H39">
        <v>3</v>
      </c>
      <c r="I39">
        <v>153.41</v>
      </c>
      <c r="J39">
        <v>0</v>
      </c>
      <c r="K39">
        <v>460.23</v>
      </c>
      <c r="L39">
        <v>136.68</v>
      </c>
      <c r="M39">
        <v>410.04</v>
      </c>
      <c r="N39">
        <v>39</v>
      </c>
      <c r="O39" t="s">
        <v>19</v>
      </c>
      <c r="P39" t="s">
        <v>43</v>
      </c>
    </row>
    <row r="40" spans="1:16">
      <c r="A40">
        <v>100321</v>
      </c>
      <c r="B40" s="4">
        <v>45924</v>
      </c>
      <c r="C40" t="s">
        <v>89</v>
      </c>
      <c r="D40" t="s">
        <v>68</v>
      </c>
      <c r="E40" t="s">
        <v>25</v>
      </c>
      <c r="F40" t="s">
        <v>1238</v>
      </c>
      <c r="G40" t="s">
        <v>31</v>
      </c>
      <c r="H40">
        <v>4</v>
      </c>
      <c r="I40">
        <v>233.68</v>
      </c>
      <c r="J40">
        <v>0</v>
      </c>
      <c r="K40">
        <v>934.72</v>
      </c>
      <c r="L40">
        <v>328.49</v>
      </c>
      <c r="M40">
        <v>1313.96</v>
      </c>
      <c r="N40">
        <v>19</v>
      </c>
      <c r="O40" t="s">
        <v>19</v>
      </c>
      <c r="P40" t="s">
        <v>27</v>
      </c>
    </row>
    <row r="41" spans="1:16">
      <c r="A41">
        <v>100205</v>
      </c>
      <c r="B41" s="4">
        <v>45439</v>
      </c>
      <c r="C41" t="s">
        <v>1185</v>
      </c>
      <c r="D41" t="s">
        <v>70</v>
      </c>
      <c r="E41" t="s">
        <v>25</v>
      </c>
      <c r="F41" t="s">
        <v>1241</v>
      </c>
      <c r="G41" t="s">
        <v>18</v>
      </c>
      <c r="H41">
        <v>1</v>
      </c>
      <c r="I41">
        <v>145.81</v>
      </c>
      <c r="J41">
        <v>10</v>
      </c>
      <c r="K41">
        <v>131.22999999999999</v>
      </c>
      <c r="L41">
        <v>44.93</v>
      </c>
      <c r="M41">
        <v>44.93</v>
      </c>
      <c r="N41">
        <v>39</v>
      </c>
      <c r="O41" t="s">
        <v>26</v>
      </c>
      <c r="P41" t="s">
        <v>46</v>
      </c>
    </row>
    <row r="42" spans="1:16">
      <c r="A42">
        <v>101065</v>
      </c>
      <c r="B42" s="4">
        <v>45757</v>
      </c>
      <c r="C42" t="s">
        <v>91</v>
      </c>
      <c r="D42" t="s">
        <v>24</v>
      </c>
      <c r="E42" t="s">
        <v>25</v>
      </c>
      <c r="F42" t="s">
        <v>1239</v>
      </c>
      <c r="G42" t="s">
        <v>64</v>
      </c>
      <c r="H42">
        <v>7</v>
      </c>
      <c r="I42">
        <v>95.23</v>
      </c>
      <c r="J42">
        <v>0</v>
      </c>
      <c r="K42">
        <v>666.61</v>
      </c>
      <c r="L42">
        <v>186.65</v>
      </c>
      <c r="M42">
        <v>1306.55</v>
      </c>
      <c r="N42">
        <v>24</v>
      </c>
      <c r="O42" t="s">
        <v>19</v>
      </c>
      <c r="P42" t="s">
        <v>35</v>
      </c>
    </row>
    <row r="43" spans="1:16">
      <c r="A43">
        <v>101104</v>
      </c>
      <c r="B43" s="4">
        <v>44941</v>
      </c>
      <c r="C43" t="s">
        <v>1184</v>
      </c>
      <c r="D43" t="s">
        <v>68</v>
      </c>
      <c r="E43" t="s">
        <v>25</v>
      </c>
      <c r="F43" t="s">
        <v>1240</v>
      </c>
      <c r="G43" t="s">
        <v>31</v>
      </c>
      <c r="H43">
        <v>3</v>
      </c>
      <c r="I43">
        <v>217.49</v>
      </c>
      <c r="J43">
        <v>0</v>
      </c>
      <c r="K43">
        <v>652.47</v>
      </c>
      <c r="L43">
        <v>140.63999999999999</v>
      </c>
      <c r="M43">
        <v>421.91999999999996</v>
      </c>
      <c r="N43">
        <v>18</v>
      </c>
      <c r="O43" t="s">
        <v>26</v>
      </c>
      <c r="P43" t="s">
        <v>32</v>
      </c>
    </row>
    <row r="44" spans="1:16">
      <c r="A44">
        <v>101025</v>
      </c>
      <c r="B44" s="4">
        <v>45129</v>
      </c>
      <c r="C44" t="s">
        <v>1183</v>
      </c>
      <c r="D44" t="s">
        <v>24</v>
      </c>
      <c r="E44" t="s">
        <v>25</v>
      </c>
      <c r="F44" t="s">
        <v>1239</v>
      </c>
      <c r="G44" t="s">
        <v>18</v>
      </c>
      <c r="H44">
        <v>2</v>
      </c>
      <c r="I44">
        <v>97.9</v>
      </c>
      <c r="J44">
        <v>0</v>
      </c>
      <c r="K44">
        <v>195.8</v>
      </c>
      <c r="L44">
        <v>57.08</v>
      </c>
      <c r="M44">
        <v>114.16</v>
      </c>
      <c r="N44">
        <v>43</v>
      </c>
      <c r="O44" t="s">
        <v>19</v>
      </c>
      <c r="P44" t="s">
        <v>81</v>
      </c>
    </row>
    <row r="45" spans="1:16">
      <c r="A45">
        <v>100355</v>
      </c>
      <c r="B45" s="4">
        <v>45910</v>
      </c>
      <c r="C45" t="s">
        <v>94</v>
      </c>
      <c r="D45" t="s">
        <v>24</v>
      </c>
      <c r="E45" t="s">
        <v>25</v>
      </c>
      <c r="F45" t="s">
        <v>1240</v>
      </c>
      <c r="G45" t="s">
        <v>18</v>
      </c>
      <c r="H45">
        <v>2</v>
      </c>
      <c r="I45">
        <v>97.13</v>
      </c>
      <c r="J45">
        <v>5</v>
      </c>
      <c r="K45">
        <v>184.55</v>
      </c>
      <c r="L45">
        <v>50.99</v>
      </c>
      <c r="M45">
        <v>101.98</v>
      </c>
      <c r="N45">
        <v>29</v>
      </c>
      <c r="O45" t="s">
        <v>26</v>
      </c>
      <c r="P45" t="s">
        <v>20</v>
      </c>
    </row>
    <row r="46" spans="1:16">
      <c r="A46">
        <v>101129</v>
      </c>
      <c r="B46" s="4">
        <v>45871</v>
      </c>
      <c r="C46" t="s">
        <v>1180</v>
      </c>
      <c r="D46" t="s">
        <v>73</v>
      </c>
      <c r="E46" t="s">
        <v>25</v>
      </c>
      <c r="F46" t="s">
        <v>1241</v>
      </c>
      <c r="G46" t="s">
        <v>48</v>
      </c>
      <c r="H46">
        <v>3</v>
      </c>
      <c r="I46">
        <v>33.840000000000003</v>
      </c>
      <c r="J46">
        <v>40</v>
      </c>
      <c r="K46">
        <v>60.91</v>
      </c>
      <c r="L46">
        <v>19.8</v>
      </c>
      <c r="M46">
        <v>59.400000000000006</v>
      </c>
      <c r="N46">
        <v>22</v>
      </c>
      <c r="O46" t="s">
        <v>19</v>
      </c>
      <c r="P46" t="s">
        <v>32</v>
      </c>
    </row>
    <row r="47" spans="1:16">
      <c r="A47">
        <v>100342</v>
      </c>
      <c r="B47" s="4">
        <v>44939</v>
      </c>
      <c r="C47" t="s">
        <v>96</v>
      </c>
      <c r="D47" t="s">
        <v>70</v>
      </c>
      <c r="E47" t="s">
        <v>25</v>
      </c>
      <c r="F47" t="s">
        <v>1240</v>
      </c>
      <c r="G47" t="s">
        <v>18</v>
      </c>
      <c r="H47">
        <v>4</v>
      </c>
      <c r="I47">
        <v>128.36000000000001</v>
      </c>
      <c r="J47">
        <v>0</v>
      </c>
      <c r="K47">
        <v>513.44000000000005</v>
      </c>
      <c r="L47">
        <v>113.36</v>
      </c>
      <c r="M47">
        <v>453.44</v>
      </c>
      <c r="N47">
        <v>26</v>
      </c>
      <c r="O47" t="s">
        <v>19</v>
      </c>
      <c r="P47" t="s">
        <v>43</v>
      </c>
    </row>
    <row r="48" spans="1:16">
      <c r="A48">
        <v>100354</v>
      </c>
      <c r="B48" s="4">
        <v>45661</v>
      </c>
      <c r="C48" t="s">
        <v>97</v>
      </c>
      <c r="D48" t="s">
        <v>42</v>
      </c>
      <c r="E48" t="s">
        <v>25</v>
      </c>
      <c r="F48" t="s">
        <v>1239</v>
      </c>
      <c r="G48" t="s">
        <v>18</v>
      </c>
      <c r="H48">
        <v>2</v>
      </c>
      <c r="I48">
        <v>172.35</v>
      </c>
      <c r="J48">
        <v>0</v>
      </c>
      <c r="K48">
        <v>344.7</v>
      </c>
      <c r="L48">
        <v>131.25</v>
      </c>
      <c r="M48">
        <v>262.5</v>
      </c>
      <c r="N48">
        <v>29</v>
      </c>
      <c r="O48" t="s">
        <v>26</v>
      </c>
      <c r="P48" t="s">
        <v>35</v>
      </c>
    </row>
    <row r="49" spans="1:16">
      <c r="A49">
        <v>100401</v>
      </c>
      <c r="B49" s="4">
        <v>45731</v>
      </c>
      <c r="C49" t="s">
        <v>1178</v>
      </c>
      <c r="D49" t="s">
        <v>24</v>
      </c>
      <c r="E49" t="s">
        <v>25</v>
      </c>
      <c r="F49" t="s">
        <v>1238</v>
      </c>
      <c r="G49" t="s">
        <v>18</v>
      </c>
      <c r="H49">
        <v>2</v>
      </c>
      <c r="I49">
        <v>96.46</v>
      </c>
      <c r="J49">
        <v>10</v>
      </c>
      <c r="K49">
        <v>173.63</v>
      </c>
      <c r="L49">
        <v>60.6</v>
      </c>
      <c r="M49">
        <v>121.2</v>
      </c>
      <c r="N49">
        <v>24</v>
      </c>
      <c r="O49" t="s">
        <v>26</v>
      </c>
      <c r="P49" t="s">
        <v>46</v>
      </c>
    </row>
    <row r="50" spans="1:16">
      <c r="A50">
        <v>100043</v>
      </c>
      <c r="B50" s="4">
        <v>45373</v>
      </c>
      <c r="C50" t="s">
        <v>99</v>
      </c>
      <c r="D50" t="s">
        <v>100</v>
      </c>
      <c r="E50" t="s">
        <v>25</v>
      </c>
      <c r="F50" t="s">
        <v>1241</v>
      </c>
      <c r="G50" t="s">
        <v>48</v>
      </c>
      <c r="H50">
        <v>5</v>
      </c>
      <c r="I50">
        <v>123.22</v>
      </c>
      <c r="J50">
        <v>0</v>
      </c>
      <c r="K50">
        <v>616.1</v>
      </c>
      <c r="L50">
        <v>217.11</v>
      </c>
      <c r="M50">
        <v>1085.5500000000002</v>
      </c>
      <c r="N50">
        <v>24</v>
      </c>
      <c r="O50" t="s">
        <v>26</v>
      </c>
      <c r="P50" t="s">
        <v>81</v>
      </c>
    </row>
    <row r="51" spans="1:16">
      <c r="A51">
        <v>100729</v>
      </c>
      <c r="B51" s="4">
        <v>45154</v>
      </c>
      <c r="C51" t="s">
        <v>1177</v>
      </c>
      <c r="D51" t="s">
        <v>68</v>
      </c>
      <c r="E51" t="s">
        <v>25</v>
      </c>
      <c r="F51" t="s">
        <v>1241</v>
      </c>
      <c r="G51" t="s">
        <v>18</v>
      </c>
      <c r="H51">
        <v>2</v>
      </c>
      <c r="I51">
        <v>226.68</v>
      </c>
      <c r="J51">
        <v>0</v>
      </c>
      <c r="K51">
        <v>453.36</v>
      </c>
      <c r="L51">
        <v>173.84</v>
      </c>
      <c r="M51">
        <v>347.68</v>
      </c>
      <c r="N51">
        <v>22</v>
      </c>
      <c r="O51" t="s">
        <v>26</v>
      </c>
      <c r="P51" t="s">
        <v>35</v>
      </c>
    </row>
    <row r="52" spans="1:16">
      <c r="A52">
        <v>100995</v>
      </c>
      <c r="B52" s="4">
        <v>45236</v>
      </c>
      <c r="C52" t="s">
        <v>1174</v>
      </c>
      <c r="D52" t="s">
        <v>100</v>
      </c>
      <c r="E52" t="s">
        <v>25</v>
      </c>
      <c r="F52" t="s">
        <v>1237</v>
      </c>
      <c r="G52" t="s">
        <v>18</v>
      </c>
      <c r="H52">
        <v>3</v>
      </c>
      <c r="I52">
        <v>127.71</v>
      </c>
      <c r="J52">
        <v>0</v>
      </c>
      <c r="K52">
        <v>383.13</v>
      </c>
      <c r="L52">
        <v>127.48</v>
      </c>
      <c r="M52">
        <v>382.44</v>
      </c>
      <c r="N52">
        <v>30</v>
      </c>
      <c r="O52" t="s">
        <v>19</v>
      </c>
      <c r="P52" t="s">
        <v>27</v>
      </c>
    </row>
    <row r="53" spans="1:16">
      <c r="A53">
        <v>101135</v>
      </c>
      <c r="B53" s="4">
        <v>45502</v>
      </c>
      <c r="C53" t="s">
        <v>103</v>
      </c>
      <c r="D53" t="s">
        <v>24</v>
      </c>
      <c r="E53" t="s">
        <v>25</v>
      </c>
      <c r="F53" t="s">
        <v>1237</v>
      </c>
      <c r="G53" t="s">
        <v>31</v>
      </c>
      <c r="H53">
        <v>2</v>
      </c>
      <c r="I53">
        <v>99.59</v>
      </c>
      <c r="J53">
        <v>5</v>
      </c>
      <c r="K53">
        <v>189.22</v>
      </c>
      <c r="L53">
        <v>63.97</v>
      </c>
      <c r="M53">
        <v>127.94</v>
      </c>
      <c r="N53">
        <v>36</v>
      </c>
      <c r="O53" t="s">
        <v>26</v>
      </c>
      <c r="P53" t="s">
        <v>20</v>
      </c>
    </row>
    <row r="54" spans="1:16">
      <c r="A54">
        <v>100269</v>
      </c>
      <c r="B54" s="4">
        <v>45032</v>
      </c>
      <c r="C54" t="s">
        <v>1173</v>
      </c>
      <c r="D54" t="s">
        <v>39</v>
      </c>
      <c r="E54" t="s">
        <v>25</v>
      </c>
      <c r="F54" t="s">
        <v>1237</v>
      </c>
      <c r="G54" t="s">
        <v>31</v>
      </c>
      <c r="H54">
        <v>4</v>
      </c>
      <c r="I54">
        <v>205.91</v>
      </c>
      <c r="J54">
        <v>10</v>
      </c>
      <c r="K54">
        <v>741.28</v>
      </c>
      <c r="L54">
        <v>243.02</v>
      </c>
      <c r="M54">
        <v>972.08</v>
      </c>
      <c r="N54">
        <v>28</v>
      </c>
      <c r="O54" t="s">
        <v>19</v>
      </c>
      <c r="P54" t="s">
        <v>32</v>
      </c>
    </row>
    <row r="55" spans="1:16">
      <c r="A55">
        <v>100455</v>
      </c>
      <c r="B55" s="4">
        <v>45768</v>
      </c>
      <c r="C55" t="s">
        <v>1171</v>
      </c>
      <c r="D55" t="s">
        <v>39</v>
      </c>
      <c r="E55" t="s">
        <v>25</v>
      </c>
      <c r="F55" t="s">
        <v>1238</v>
      </c>
      <c r="G55" t="s">
        <v>18</v>
      </c>
      <c r="H55">
        <v>2</v>
      </c>
      <c r="I55">
        <v>196.84</v>
      </c>
      <c r="J55">
        <v>5</v>
      </c>
      <c r="K55">
        <v>374</v>
      </c>
      <c r="L55">
        <v>83.57</v>
      </c>
      <c r="M55">
        <v>167.14</v>
      </c>
      <c r="N55">
        <v>34</v>
      </c>
      <c r="O55" t="s">
        <v>26</v>
      </c>
      <c r="P55" t="s">
        <v>20</v>
      </c>
    </row>
    <row r="56" spans="1:16">
      <c r="A56">
        <v>100295</v>
      </c>
      <c r="B56" s="4">
        <v>45098</v>
      </c>
      <c r="C56" t="s">
        <v>1169</v>
      </c>
      <c r="D56" t="s">
        <v>24</v>
      </c>
      <c r="E56" t="s">
        <v>25</v>
      </c>
      <c r="F56" t="s">
        <v>1237</v>
      </c>
      <c r="G56" t="s">
        <v>18</v>
      </c>
      <c r="H56">
        <v>2</v>
      </c>
      <c r="I56">
        <v>106.92</v>
      </c>
      <c r="J56">
        <v>0</v>
      </c>
      <c r="K56">
        <v>213.84</v>
      </c>
      <c r="L56">
        <v>58.53</v>
      </c>
      <c r="M56">
        <v>117.06</v>
      </c>
      <c r="N56">
        <v>29</v>
      </c>
      <c r="O56" t="s">
        <v>26</v>
      </c>
      <c r="P56" t="s">
        <v>51</v>
      </c>
    </row>
    <row r="57" spans="1:16">
      <c r="A57">
        <v>100719</v>
      </c>
      <c r="B57" s="4">
        <v>45156</v>
      </c>
      <c r="C57" t="s">
        <v>1168</v>
      </c>
      <c r="D57" t="s">
        <v>39</v>
      </c>
      <c r="E57" t="s">
        <v>25</v>
      </c>
      <c r="F57" t="s">
        <v>1241</v>
      </c>
      <c r="G57" t="s">
        <v>18</v>
      </c>
      <c r="H57">
        <v>3</v>
      </c>
      <c r="I57">
        <v>159.36000000000001</v>
      </c>
      <c r="J57">
        <v>0</v>
      </c>
      <c r="K57">
        <v>478.08</v>
      </c>
      <c r="L57">
        <v>135.58000000000001</v>
      </c>
      <c r="M57">
        <v>406.74</v>
      </c>
      <c r="N57">
        <v>36</v>
      </c>
      <c r="O57" t="s">
        <v>19</v>
      </c>
      <c r="P57" t="s">
        <v>46</v>
      </c>
    </row>
    <row r="58" spans="1:16">
      <c r="A58">
        <v>101076</v>
      </c>
      <c r="B58" s="4">
        <v>45220</v>
      </c>
      <c r="C58" t="s">
        <v>1165</v>
      </c>
      <c r="D58" t="s">
        <v>87</v>
      </c>
      <c r="E58" t="s">
        <v>25</v>
      </c>
      <c r="F58" t="s">
        <v>1239</v>
      </c>
      <c r="G58" t="s">
        <v>18</v>
      </c>
      <c r="H58">
        <v>4</v>
      </c>
      <c r="I58">
        <v>85.14</v>
      </c>
      <c r="J58">
        <v>20</v>
      </c>
      <c r="K58">
        <v>272.45</v>
      </c>
      <c r="L58">
        <v>61.77</v>
      </c>
      <c r="M58">
        <v>247.08</v>
      </c>
      <c r="N58">
        <v>26</v>
      </c>
      <c r="O58" t="s">
        <v>19</v>
      </c>
      <c r="P58" t="s">
        <v>35</v>
      </c>
    </row>
    <row r="59" spans="1:16">
      <c r="A59">
        <v>101172</v>
      </c>
      <c r="B59" s="4">
        <v>45903</v>
      </c>
      <c r="C59" t="s">
        <v>109</v>
      </c>
      <c r="D59" t="s">
        <v>24</v>
      </c>
      <c r="E59" t="s">
        <v>25</v>
      </c>
      <c r="F59" t="s">
        <v>1241</v>
      </c>
      <c r="G59" t="s">
        <v>31</v>
      </c>
      <c r="H59">
        <v>2</v>
      </c>
      <c r="I59">
        <v>82.12</v>
      </c>
      <c r="J59">
        <v>0</v>
      </c>
      <c r="K59">
        <v>164.24</v>
      </c>
      <c r="L59">
        <v>57.54</v>
      </c>
      <c r="M59">
        <v>115.08</v>
      </c>
      <c r="N59">
        <v>51</v>
      </c>
      <c r="O59" t="s">
        <v>26</v>
      </c>
      <c r="P59" t="s">
        <v>27</v>
      </c>
    </row>
    <row r="60" spans="1:16">
      <c r="A60">
        <v>101001</v>
      </c>
      <c r="B60" s="4">
        <v>45595</v>
      </c>
      <c r="C60" t="s">
        <v>110</v>
      </c>
      <c r="D60" t="s">
        <v>42</v>
      </c>
      <c r="E60" t="s">
        <v>25</v>
      </c>
      <c r="F60" t="s">
        <v>1241</v>
      </c>
      <c r="G60" t="s">
        <v>31</v>
      </c>
      <c r="H60">
        <v>3</v>
      </c>
      <c r="I60">
        <v>131.82</v>
      </c>
      <c r="J60">
        <v>10</v>
      </c>
      <c r="K60">
        <v>355.91</v>
      </c>
      <c r="L60">
        <v>114.03</v>
      </c>
      <c r="M60">
        <v>342.09000000000003</v>
      </c>
      <c r="N60">
        <v>32</v>
      </c>
      <c r="O60" t="s">
        <v>26</v>
      </c>
      <c r="P60" t="s">
        <v>27</v>
      </c>
    </row>
    <row r="61" spans="1:16">
      <c r="A61">
        <v>100763</v>
      </c>
      <c r="B61" s="4">
        <v>45359</v>
      </c>
      <c r="C61" t="s">
        <v>1162</v>
      </c>
      <c r="D61" t="s">
        <v>70</v>
      </c>
      <c r="E61" t="s">
        <v>25</v>
      </c>
      <c r="F61" t="s">
        <v>1241</v>
      </c>
      <c r="G61" t="s">
        <v>18</v>
      </c>
      <c r="H61">
        <v>1</v>
      </c>
      <c r="I61">
        <v>150.6</v>
      </c>
      <c r="J61">
        <v>20</v>
      </c>
      <c r="K61">
        <v>120.48</v>
      </c>
      <c r="L61">
        <v>44.04</v>
      </c>
      <c r="M61">
        <v>44.04</v>
      </c>
      <c r="N61">
        <v>28</v>
      </c>
      <c r="O61" t="s">
        <v>19</v>
      </c>
      <c r="P61" t="s">
        <v>20</v>
      </c>
    </row>
    <row r="62" spans="1:16">
      <c r="A62">
        <v>100309</v>
      </c>
      <c r="B62" s="4">
        <v>45607</v>
      </c>
      <c r="C62" t="s">
        <v>112</v>
      </c>
      <c r="D62" t="s">
        <v>42</v>
      </c>
      <c r="E62" t="s">
        <v>25</v>
      </c>
      <c r="F62" t="s">
        <v>1237</v>
      </c>
      <c r="G62" t="s">
        <v>31</v>
      </c>
      <c r="H62">
        <v>4</v>
      </c>
      <c r="I62">
        <v>151.44999999999999</v>
      </c>
      <c r="J62">
        <v>10</v>
      </c>
      <c r="K62">
        <v>545.22</v>
      </c>
      <c r="L62">
        <v>165.42</v>
      </c>
      <c r="M62">
        <v>661.68</v>
      </c>
      <c r="N62">
        <v>36</v>
      </c>
      <c r="O62" t="s">
        <v>19</v>
      </c>
      <c r="P62" t="s">
        <v>32</v>
      </c>
    </row>
    <row r="63" spans="1:16">
      <c r="A63">
        <v>100155</v>
      </c>
      <c r="B63" s="4">
        <v>45523</v>
      </c>
      <c r="C63" t="s">
        <v>113</v>
      </c>
      <c r="D63" t="s">
        <v>68</v>
      </c>
      <c r="E63" t="s">
        <v>25</v>
      </c>
      <c r="F63" t="s">
        <v>1238</v>
      </c>
      <c r="G63" t="s">
        <v>31</v>
      </c>
      <c r="H63">
        <v>2</v>
      </c>
      <c r="I63">
        <v>210.8</v>
      </c>
      <c r="J63">
        <v>0</v>
      </c>
      <c r="K63">
        <v>421.6</v>
      </c>
      <c r="L63">
        <v>98.14</v>
      </c>
      <c r="M63">
        <v>196.28</v>
      </c>
      <c r="N63">
        <v>22</v>
      </c>
      <c r="O63" t="s">
        <v>19</v>
      </c>
      <c r="P63" t="s">
        <v>35</v>
      </c>
    </row>
    <row r="64" spans="1:16">
      <c r="A64">
        <v>100210</v>
      </c>
      <c r="B64" s="4">
        <v>45122</v>
      </c>
      <c r="C64" t="s">
        <v>114</v>
      </c>
      <c r="D64" t="s">
        <v>39</v>
      </c>
      <c r="E64" t="s">
        <v>25</v>
      </c>
      <c r="F64" t="s">
        <v>1238</v>
      </c>
      <c r="G64" t="s">
        <v>18</v>
      </c>
      <c r="H64">
        <v>3</v>
      </c>
      <c r="I64">
        <v>166.49</v>
      </c>
      <c r="J64">
        <v>5</v>
      </c>
      <c r="K64">
        <v>474.5</v>
      </c>
      <c r="L64">
        <v>157.63999999999999</v>
      </c>
      <c r="M64">
        <v>472.91999999999996</v>
      </c>
      <c r="N64">
        <v>25</v>
      </c>
      <c r="O64" t="s">
        <v>26</v>
      </c>
      <c r="P64" t="s">
        <v>46</v>
      </c>
    </row>
    <row r="65" spans="1:16">
      <c r="A65">
        <v>100086</v>
      </c>
      <c r="B65" s="4">
        <v>44953</v>
      </c>
      <c r="C65" t="s">
        <v>115</v>
      </c>
      <c r="D65" t="s">
        <v>24</v>
      </c>
      <c r="E65" t="s">
        <v>25</v>
      </c>
      <c r="F65" t="s">
        <v>1237</v>
      </c>
      <c r="G65" t="s">
        <v>48</v>
      </c>
      <c r="H65">
        <v>4</v>
      </c>
      <c r="I65">
        <v>91.09</v>
      </c>
      <c r="J65">
        <v>20</v>
      </c>
      <c r="K65">
        <v>291.49</v>
      </c>
      <c r="L65">
        <v>72.010000000000005</v>
      </c>
      <c r="M65">
        <v>288.04000000000002</v>
      </c>
      <c r="N65">
        <v>25</v>
      </c>
      <c r="O65" t="s">
        <v>19</v>
      </c>
      <c r="P65" t="s">
        <v>81</v>
      </c>
    </row>
    <row r="66" spans="1:16">
      <c r="A66">
        <v>100168</v>
      </c>
      <c r="B66" s="4">
        <v>45189</v>
      </c>
      <c r="C66" t="s">
        <v>116</v>
      </c>
      <c r="D66" t="s">
        <v>73</v>
      </c>
      <c r="E66" t="s">
        <v>25</v>
      </c>
      <c r="F66" t="s">
        <v>1238</v>
      </c>
      <c r="G66" t="s">
        <v>31</v>
      </c>
      <c r="H66">
        <v>3</v>
      </c>
      <c r="I66">
        <v>37.99</v>
      </c>
      <c r="J66">
        <v>0</v>
      </c>
      <c r="K66">
        <v>113.97</v>
      </c>
      <c r="L66">
        <v>40.85</v>
      </c>
      <c r="M66">
        <v>122.55000000000001</v>
      </c>
      <c r="N66">
        <v>27</v>
      </c>
      <c r="O66" t="s">
        <v>26</v>
      </c>
      <c r="P66" t="s">
        <v>27</v>
      </c>
    </row>
    <row r="67" spans="1:16">
      <c r="A67">
        <v>100492</v>
      </c>
      <c r="B67" s="4">
        <v>45729</v>
      </c>
      <c r="C67" t="s">
        <v>1159</v>
      </c>
      <c r="D67" t="s">
        <v>100</v>
      </c>
      <c r="E67" t="s">
        <v>25</v>
      </c>
      <c r="F67" t="s">
        <v>1237</v>
      </c>
      <c r="G67" t="s">
        <v>31</v>
      </c>
      <c r="H67">
        <v>3</v>
      </c>
      <c r="I67">
        <v>122.51</v>
      </c>
      <c r="J67">
        <v>0</v>
      </c>
      <c r="K67">
        <v>367.53</v>
      </c>
      <c r="L67">
        <v>119.98</v>
      </c>
      <c r="M67">
        <v>359.94</v>
      </c>
      <c r="N67">
        <v>31</v>
      </c>
      <c r="O67" t="s">
        <v>19</v>
      </c>
      <c r="P67" t="s">
        <v>43</v>
      </c>
    </row>
    <row r="68" spans="1:16">
      <c r="A68">
        <v>100051</v>
      </c>
      <c r="B68" s="4">
        <v>45598</v>
      </c>
      <c r="C68" t="s">
        <v>118</v>
      </c>
      <c r="D68" t="s">
        <v>39</v>
      </c>
      <c r="E68" t="s">
        <v>25</v>
      </c>
      <c r="F68" t="s">
        <v>1239</v>
      </c>
      <c r="G68" t="s">
        <v>48</v>
      </c>
      <c r="H68">
        <v>2</v>
      </c>
      <c r="I68">
        <v>193.1</v>
      </c>
      <c r="J68">
        <v>0</v>
      </c>
      <c r="K68">
        <v>386.2</v>
      </c>
      <c r="L68">
        <v>111.95</v>
      </c>
      <c r="M68">
        <v>223.9</v>
      </c>
      <c r="N68">
        <v>30</v>
      </c>
      <c r="O68" t="s">
        <v>19</v>
      </c>
      <c r="P68" t="s">
        <v>51</v>
      </c>
    </row>
    <row r="69" spans="1:16">
      <c r="A69">
        <v>100438</v>
      </c>
      <c r="B69" s="4">
        <v>45695</v>
      </c>
      <c r="C69" t="s">
        <v>119</v>
      </c>
      <c r="D69" t="s">
        <v>42</v>
      </c>
      <c r="E69" t="s">
        <v>25</v>
      </c>
      <c r="F69" t="s">
        <v>1237</v>
      </c>
      <c r="G69" t="s">
        <v>18</v>
      </c>
      <c r="H69">
        <v>2</v>
      </c>
      <c r="I69">
        <v>168.9</v>
      </c>
      <c r="J69">
        <v>0</v>
      </c>
      <c r="K69">
        <v>337.8</v>
      </c>
      <c r="L69">
        <v>115.68</v>
      </c>
      <c r="M69">
        <v>231.36</v>
      </c>
      <c r="N69">
        <v>17</v>
      </c>
      <c r="O69" t="s">
        <v>26</v>
      </c>
      <c r="P69" t="s">
        <v>20</v>
      </c>
    </row>
    <row r="70" spans="1:16">
      <c r="A70">
        <v>100520</v>
      </c>
      <c r="B70" s="4">
        <v>45559</v>
      </c>
      <c r="C70" t="s">
        <v>1155</v>
      </c>
      <c r="D70" t="s">
        <v>68</v>
      </c>
      <c r="E70" t="s">
        <v>25</v>
      </c>
      <c r="F70" t="s">
        <v>1240</v>
      </c>
      <c r="G70" t="s">
        <v>18</v>
      </c>
      <c r="H70">
        <v>2</v>
      </c>
      <c r="I70">
        <v>209.22</v>
      </c>
      <c r="J70">
        <v>10</v>
      </c>
      <c r="K70">
        <v>376.6</v>
      </c>
      <c r="L70">
        <v>132.79</v>
      </c>
      <c r="M70">
        <v>265.58</v>
      </c>
      <c r="N70">
        <v>26</v>
      </c>
      <c r="O70" t="s">
        <v>26</v>
      </c>
      <c r="P70" t="s">
        <v>20</v>
      </c>
    </row>
    <row r="71" spans="1:16">
      <c r="A71">
        <v>100592</v>
      </c>
      <c r="B71" s="4">
        <v>44971</v>
      </c>
      <c r="C71" t="s">
        <v>1152</v>
      </c>
      <c r="D71" t="s">
        <v>42</v>
      </c>
      <c r="E71" t="s">
        <v>25</v>
      </c>
      <c r="F71" t="s">
        <v>1237</v>
      </c>
      <c r="G71" t="s">
        <v>31</v>
      </c>
      <c r="H71">
        <v>2</v>
      </c>
      <c r="I71">
        <v>145.22</v>
      </c>
      <c r="J71">
        <v>0</v>
      </c>
      <c r="K71">
        <v>290.44</v>
      </c>
      <c r="L71">
        <v>61.69</v>
      </c>
      <c r="M71">
        <v>123.38</v>
      </c>
      <c r="N71">
        <v>29</v>
      </c>
      <c r="O71" t="s">
        <v>26</v>
      </c>
      <c r="P71" t="s">
        <v>35</v>
      </c>
    </row>
    <row r="72" spans="1:16">
      <c r="A72">
        <v>100425</v>
      </c>
      <c r="B72" s="4">
        <v>45772</v>
      </c>
      <c r="C72" t="s">
        <v>123</v>
      </c>
      <c r="D72" t="s">
        <v>24</v>
      </c>
      <c r="E72" t="s">
        <v>25</v>
      </c>
      <c r="F72" t="s">
        <v>1240</v>
      </c>
      <c r="G72" t="s">
        <v>31</v>
      </c>
      <c r="H72">
        <v>2</v>
      </c>
      <c r="I72">
        <v>91.8</v>
      </c>
      <c r="J72">
        <v>0</v>
      </c>
      <c r="K72">
        <v>183.6</v>
      </c>
      <c r="L72">
        <v>31.17</v>
      </c>
      <c r="M72">
        <v>62.34</v>
      </c>
      <c r="N72">
        <v>31</v>
      </c>
      <c r="O72" t="s">
        <v>19</v>
      </c>
      <c r="P72" t="s">
        <v>51</v>
      </c>
    </row>
    <row r="73" spans="1:16">
      <c r="A73">
        <v>100288</v>
      </c>
      <c r="B73" s="4">
        <v>45212</v>
      </c>
      <c r="C73" t="s">
        <v>1149</v>
      </c>
      <c r="D73" t="s">
        <v>24</v>
      </c>
      <c r="E73" t="s">
        <v>25</v>
      </c>
      <c r="F73" t="s">
        <v>1237</v>
      </c>
      <c r="G73" t="s">
        <v>31</v>
      </c>
      <c r="H73">
        <v>4</v>
      </c>
      <c r="I73">
        <v>96.44</v>
      </c>
      <c r="J73">
        <v>0</v>
      </c>
      <c r="K73">
        <v>385.76</v>
      </c>
      <c r="L73">
        <v>126.85</v>
      </c>
      <c r="M73">
        <v>507.4</v>
      </c>
      <c r="N73">
        <v>39</v>
      </c>
      <c r="O73" t="s">
        <v>26</v>
      </c>
      <c r="P73" t="s">
        <v>51</v>
      </c>
    </row>
    <row r="74" spans="1:16">
      <c r="A74">
        <v>100200</v>
      </c>
      <c r="B74" s="4">
        <v>45436</v>
      </c>
      <c r="C74" t="s">
        <v>1143</v>
      </c>
      <c r="D74" t="s">
        <v>39</v>
      </c>
      <c r="E74" t="s">
        <v>25</v>
      </c>
      <c r="F74" t="s">
        <v>1238</v>
      </c>
      <c r="G74" t="s">
        <v>31</v>
      </c>
      <c r="H74">
        <v>4</v>
      </c>
      <c r="I74">
        <v>172.08</v>
      </c>
      <c r="J74">
        <v>10</v>
      </c>
      <c r="K74">
        <v>619.49</v>
      </c>
      <c r="L74">
        <v>165.04</v>
      </c>
      <c r="M74">
        <v>660.16</v>
      </c>
      <c r="N74">
        <v>34</v>
      </c>
      <c r="O74" t="s">
        <v>26</v>
      </c>
      <c r="P74" t="s">
        <v>43</v>
      </c>
    </row>
    <row r="75" spans="1:16">
      <c r="A75">
        <v>101056</v>
      </c>
      <c r="B75" s="4">
        <v>45671</v>
      </c>
      <c r="C75" t="s">
        <v>1140</v>
      </c>
      <c r="D75" t="s">
        <v>39</v>
      </c>
      <c r="E75" t="s">
        <v>25</v>
      </c>
      <c r="F75" t="s">
        <v>1238</v>
      </c>
      <c r="G75" t="s">
        <v>18</v>
      </c>
      <c r="H75">
        <v>3</v>
      </c>
      <c r="I75">
        <v>139.19999999999999</v>
      </c>
      <c r="J75">
        <v>0</v>
      </c>
      <c r="K75">
        <v>417.6</v>
      </c>
      <c r="L75">
        <v>153.66</v>
      </c>
      <c r="M75">
        <v>460.98</v>
      </c>
      <c r="N75">
        <v>44</v>
      </c>
      <c r="O75" t="s">
        <v>19</v>
      </c>
      <c r="P75" t="s">
        <v>81</v>
      </c>
    </row>
    <row r="76" spans="1:16">
      <c r="A76">
        <v>100502</v>
      </c>
      <c r="B76" s="4">
        <v>45724</v>
      </c>
      <c r="C76" t="s">
        <v>1138</v>
      </c>
      <c r="D76" t="s">
        <v>87</v>
      </c>
      <c r="E76" t="s">
        <v>25</v>
      </c>
      <c r="F76" t="s">
        <v>1241</v>
      </c>
      <c r="G76" t="s">
        <v>64</v>
      </c>
      <c r="H76">
        <v>5</v>
      </c>
      <c r="I76">
        <v>89.56</v>
      </c>
      <c r="J76">
        <v>10</v>
      </c>
      <c r="K76">
        <v>403.02</v>
      </c>
      <c r="L76">
        <v>115.02</v>
      </c>
      <c r="M76">
        <v>575.1</v>
      </c>
      <c r="N76">
        <v>36</v>
      </c>
      <c r="O76" t="s">
        <v>26</v>
      </c>
      <c r="P76" t="s">
        <v>81</v>
      </c>
    </row>
    <row r="77" spans="1:16">
      <c r="A77">
        <v>100406</v>
      </c>
      <c r="B77" s="4">
        <v>45156</v>
      </c>
      <c r="C77" t="s">
        <v>1137</v>
      </c>
      <c r="D77" t="s">
        <v>68</v>
      </c>
      <c r="E77" t="s">
        <v>25</v>
      </c>
      <c r="F77" t="s">
        <v>1241</v>
      </c>
      <c r="G77" t="s">
        <v>31</v>
      </c>
      <c r="H77">
        <v>2</v>
      </c>
      <c r="I77">
        <v>216.38</v>
      </c>
      <c r="J77">
        <v>20</v>
      </c>
      <c r="K77">
        <v>346.21</v>
      </c>
      <c r="L77">
        <v>92.61</v>
      </c>
      <c r="M77">
        <v>185.22</v>
      </c>
      <c r="N77">
        <v>32</v>
      </c>
      <c r="O77" t="s">
        <v>26</v>
      </c>
      <c r="P77" t="s">
        <v>81</v>
      </c>
    </row>
    <row r="78" spans="1:16">
      <c r="A78">
        <v>100184</v>
      </c>
      <c r="B78" s="4">
        <v>45182</v>
      </c>
      <c r="C78" t="s">
        <v>129</v>
      </c>
      <c r="D78" t="s">
        <v>87</v>
      </c>
      <c r="E78" t="s">
        <v>25</v>
      </c>
      <c r="F78" t="s">
        <v>1241</v>
      </c>
      <c r="G78" t="s">
        <v>31</v>
      </c>
      <c r="H78">
        <v>2</v>
      </c>
      <c r="I78">
        <v>75.760000000000005</v>
      </c>
      <c r="J78">
        <v>10</v>
      </c>
      <c r="K78">
        <v>136.37</v>
      </c>
      <c r="L78">
        <v>38.76</v>
      </c>
      <c r="M78">
        <v>77.52</v>
      </c>
      <c r="N78">
        <v>17</v>
      </c>
      <c r="O78" t="s">
        <v>19</v>
      </c>
      <c r="P78" t="s">
        <v>27</v>
      </c>
    </row>
    <row r="79" spans="1:16">
      <c r="A79">
        <v>100056</v>
      </c>
      <c r="B79" s="4">
        <v>45352</v>
      </c>
      <c r="C79" t="s">
        <v>130</v>
      </c>
      <c r="D79" t="s">
        <v>70</v>
      </c>
      <c r="E79" t="s">
        <v>25</v>
      </c>
      <c r="F79" t="s">
        <v>1238</v>
      </c>
      <c r="G79" t="s">
        <v>48</v>
      </c>
      <c r="H79">
        <v>3</v>
      </c>
      <c r="I79">
        <v>154.34</v>
      </c>
      <c r="J79">
        <v>20</v>
      </c>
      <c r="K79">
        <v>370.42</v>
      </c>
      <c r="L79">
        <v>121.89</v>
      </c>
      <c r="M79">
        <v>365.67</v>
      </c>
      <c r="N79">
        <v>35</v>
      </c>
      <c r="O79" t="s">
        <v>19</v>
      </c>
      <c r="P79" t="s">
        <v>81</v>
      </c>
    </row>
    <row r="80" spans="1:16">
      <c r="A80">
        <v>100804</v>
      </c>
      <c r="B80" s="4">
        <v>45022</v>
      </c>
      <c r="C80" t="s">
        <v>1136</v>
      </c>
      <c r="D80" t="s">
        <v>70</v>
      </c>
      <c r="E80" t="s">
        <v>25</v>
      </c>
      <c r="F80" t="s">
        <v>1240</v>
      </c>
      <c r="G80" t="s">
        <v>31</v>
      </c>
      <c r="H80">
        <v>2</v>
      </c>
      <c r="I80">
        <v>144.69</v>
      </c>
      <c r="J80">
        <v>0</v>
      </c>
      <c r="K80">
        <v>289.38</v>
      </c>
      <c r="L80">
        <v>81.88</v>
      </c>
      <c r="M80">
        <v>163.76</v>
      </c>
      <c r="N80">
        <v>25</v>
      </c>
      <c r="O80" t="s">
        <v>19</v>
      </c>
      <c r="P80" t="s">
        <v>35</v>
      </c>
    </row>
    <row r="81" spans="1:16">
      <c r="A81">
        <v>100098</v>
      </c>
      <c r="B81" s="4">
        <v>45434</v>
      </c>
      <c r="C81" t="s">
        <v>1135</v>
      </c>
      <c r="D81" t="s">
        <v>70</v>
      </c>
      <c r="E81" t="s">
        <v>25</v>
      </c>
      <c r="F81" t="s">
        <v>1240</v>
      </c>
      <c r="G81" t="s">
        <v>18</v>
      </c>
      <c r="H81">
        <v>2</v>
      </c>
      <c r="I81">
        <v>145.66</v>
      </c>
      <c r="J81">
        <v>10</v>
      </c>
      <c r="K81">
        <v>262.19</v>
      </c>
      <c r="L81">
        <v>75.53</v>
      </c>
      <c r="M81">
        <v>151.06</v>
      </c>
      <c r="N81">
        <v>26</v>
      </c>
      <c r="O81" t="s">
        <v>26</v>
      </c>
      <c r="P81" t="s">
        <v>46</v>
      </c>
    </row>
    <row r="82" spans="1:16">
      <c r="A82">
        <v>100642</v>
      </c>
      <c r="B82" s="4">
        <v>45554</v>
      </c>
      <c r="C82" t="s">
        <v>1130</v>
      </c>
      <c r="D82" t="s">
        <v>70</v>
      </c>
      <c r="E82" t="s">
        <v>25</v>
      </c>
      <c r="F82" t="s">
        <v>1238</v>
      </c>
      <c r="G82" t="s">
        <v>18</v>
      </c>
      <c r="H82">
        <v>4</v>
      </c>
      <c r="I82">
        <v>164.89</v>
      </c>
      <c r="J82">
        <v>0</v>
      </c>
      <c r="K82">
        <v>659.56</v>
      </c>
      <c r="L82">
        <v>216.79</v>
      </c>
      <c r="M82">
        <v>867.16</v>
      </c>
      <c r="N82">
        <v>19</v>
      </c>
      <c r="O82" t="s">
        <v>26</v>
      </c>
      <c r="P82" t="s">
        <v>46</v>
      </c>
    </row>
    <row r="83" spans="1:16">
      <c r="A83">
        <v>101028</v>
      </c>
      <c r="B83" s="4">
        <v>45218</v>
      </c>
      <c r="C83" t="s">
        <v>1129</v>
      </c>
      <c r="D83" t="s">
        <v>70</v>
      </c>
      <c r="E83" t="s">
        <v>25</v>
      </c>
      <c r="F83" t="s">
        <v>1238</v>
      </c>
      <c r="G83" t="s">
        <v>18</v>
      </c>
      <c r="H83">
        <v>3</v>
      </c>
      <c r="I83">
        <v>145.07</v>
      </c>
      <c r="J83">
        <v>10</v>
      </c>
      <c r="K83">
        <v>391.69</v>
      </c>
      <c r="L83">
        <v>137.51</v>
      </c>
      <c r="M83">
        <v>412.53</v>
      </c>
      <c r="N83">
        <v>24</v>
      </c>
      <c r="O83" t="s">
        <v>26</v>
      </c>
      <c r="P83" t="s">
        <v>51</v>
      </c>
    </row>
    <row r="84" spans="1:16">
      <c r="A84">
        <v>100870</v>
      </c>
      <c r="B84" s="4">
        <v>45733</v>
      </c>
      <c r="C84" t="s">
        <v>1125</v>
      </c>
      <c r="D84" t="s">
        <v>24</v>
      </c>
      <c r="E84" t="s">
        <v>25</v>
      </c>
      <c r="F84" t="s">
        <v>1239</v>
      </c>
      <c r="G84" t="s">
        <v>48</v>
      </c>
      <c r="H84">
        <v>3</v>
      </c>
      <c r="I84">
        <v>108.29</v>
      </c>
      <c r="J84">
        <v>0</v>
      </c>
      <c r="K84">
        <v>324.87</v>
      </c>
      <c r="L84">
        <v>91.11</v>
      </c>
      <c r="M84">
        <v>273.33</v>
      </c>
      <c r="N84">
        <v>17</v>
      </c>
      <c r="O84" t="s">
        <v>26</v>
      </c>
      <c r="P84" t="s">
        <v>27</v>
      </c>
    </row>
    <row r="85" spans="1:16">
      <c r="A85">
        <v>100206</v>
      </c>
      <c r="B85" s="4">
        <v>45262</v>
      </c>
      <c r="C85" t="s">
        <v>1123</v>
      </c>
      <c r="D85" t="s">
        <v>100</v>
      </c>
      <c r="E85" t="s">
        <v>25</v>
      </c>
      <c r="F85" t="s">
        <v>1238</v>
      </c>
      <c r="G85" t="s">
        <v>31</v>
      </c>
      <c r="H85">
        <v>4</v>
      </c>
      <c r="I85">
        <v>142.63</v>
      </c>
      <c r="J85">
        <v>5</v>
      </c>
      <c r="K85">
        <v>541.99</v>
      </c>
      <c r="L85">
        <v>160.16999999999999</v>
      </c>
      <c r="M85">
        <v>640.67999999999995</v>
      </c>
      <c r="N85">
        <v>27</v>
      </c>
      <c r="O85" t="s">
        <v>19</v>
      </c>
      <c r="P85" t="s">
        <v>43</v>
      </c>
    </row>
    <row r="86" spans="1:16">
      <c r="A86">
        <v>100548</v>
      </c>
      <c r="B86" s="4">
        <v>45740</v>
      </c>
      <c r="C86" t="s">
        <v>137</v>
      </c>
      <c r="D86" t="s">
        <v>70</v>
      </c>
      <c r="E86" t="s">
        <v>25</v>
      </c>
      <c r="F86" t="s">
        <v>1241</v>
      </c>
      <c r="G86" t="s">
        <v>18</v>
      </c>
      <c r="H86">
        <v>1</v>
      </c>
      <c r="I86">
        <v>136.94</v>
      </c>
      <c r="J86">
        <v>0</v>
      </c>
      <c r="K86">
        <v>136.94</v>
      </c>
      <c r="L86">
        <v>32.32</v>
      </c>
      <c r="M86">
        <v>32.32</v>
      </c>
      <c r="N86">
        <v>16</v>
      </c>
      <c r="O86" t="s">
        <v>26</v>
      </c>
      <c r="P86" t="s">
        <v>20</v>
      </c>
    </row>
    <row r="87" spans="1:16">
      <c r="A87">
        <v>100863</v>
      </c>
      <c r="B87" s="4">
        <v>45480</v>
      </c>
      <c r="C87" t="s">
        <v>1120</v>
      </c>
      <c r="D87" t="s">
        <v>42</v>
      </c>
      <c r="E87" t="s">
        <v>25</v>
      </c>
      <c r="F87" t="s">
        <v>1238</v>
      </c>
      <c r="G87" t="s">
        <v>18</v>
      </c>
      <c r="H87">
        <v>2</v>
      </c>
      <c r="I87">
        <v>176.79</v>
      </c>
      <c r="J87">
        <v>0</v>
      </c>
      <c r="K87">
        <v>353.58</v>
      </c>
      <c r="L87">
        <v>99.97</v>
      </c>
      <c r="M87">
        <v>199.94</v>
      </c>
      <c r="N87">
        <v>33</v>
      </c>
      <c r="O87" t="s">
        <v>19</v>
      </c>
      <c r="P87" t="s">
        <v>46</v>
      </c>
    </row>
    <row r="88" spans="1:16">
      <c r="A88">
        <v>101072</v>
      </c>
      <c r="B88" s="4">
        <v>45175</v>
      </c>
      <c r="C88" t="s">
        <v>139</v>
      </c>
      <c r="D88" t="s">
        <v>73</v>
      </c>
      <c r="E88" t="s">
        <v>25</v>
      </c>
      <c r="F88" t="s">
        <v>1241</v>
      </c>
      <c r="G88" t="s">
        <v>18</v>
      </c>
      <c r="H88">
        <v>2</v>
      </c>
      <c r="I88">
        <v>32.85</v>
      </c>
      <c r="J88">
        <v>0</v>
      </c>
      <c r="K88">
        <v>65.7</v>
      </c>
      <c r="L88">
        <v>17.73</v>
      </c>
      <c r="M88">
        <v>35.46</v>
      </c>
      <c r="N88">
        <v>26</v>
      </c>
      <c r="O88" t="s">
        <v>19</v>
      </c>
      <c r="P88" t="s">
        <v>35</v>
      </c>
    </row>
    <row r="89" spans="1:16">
      <c r="A89">
        <v>100174</v>
      </c>
      <c r="B89" s="4">
        <v>45573</v>
      </c>
      <c r="C89" t="s">
        <v>140</v>
      </c>
      <c r="D89" t="s">
        <v>42</v>
      </c>
      <c r="E89" t="s">
        <v>25</v>
      </c>
      <c r="F89" t="s">
        <v>1241</v>
      </c>
      <c r="G89" t="s">
        <v>31</v>
      </c>
      <c r="H89">
        <v>3</v>
      </c>
      <c r="I89">
        <v>161.69999999999999</v>
      </c>
      <c r="J89">
        <v>0</v>
      </c>
      <c r="K89">
        <v>485.1</v>
      </c>
      <c r="L89">
        <v>128.55000000000001</v>
      </c>
      <c r="M89">
        <v>385.65000000000003</v>
      </c>
      <c r="N89">
        <v>32</v>
      </c>
      <c r="O89" t="s">
        <v>26</v>
      </c>
      <c r="P89" t="s">
        <v>20</v>
      </c>
    </row>
    <row r="90" spans="1:16">
      <c r="A90">
        <v>100563</v>
      </c>
      <c r="B90" s="4">
        <v>45719</v>
      </c>
      <c r="C90" t="s">
        <v>1118</v>
      </c>
      <c r="D90" t="s">
        <v>68</v>
      </c>
      <c r="E90" t="s">
        <v>25</v>
      </c>
      <c r="F90" t="s">
        <v>1238</v>
      </c>
      <c r="G90" t="s">
        <v>18</v>
      </c>
      <c r="H90">
        <v>3</v>
      </c>
      <c r="I90">
        <v>227.63</v>
      </c>
      <c r="J90">
        <v>0</v>
      </c>
      <c r="K90">
        <v>682.89</v>
      </c>
      <c r="L90">
        <v>184.94</v>
      </c>
      <c r="M90">
        <v>554.81999999999994</v>
      </c>
      <c r="N90">
        <v>38</v>
      </c>
      <c r="O90" t="s">
        <v>26</v>
      </c>
      <c r="P90" t="s">
        <v>51</v>
      </c>
    </row>
    <row r="91" spans="1:16">
      <c r="A91">
        <v>100484</v>
      </c>
      <c r="B91" s="4">
        <v>44932</v>
      </c>
      <c r="C91" t="s">
        <v>1115</v>
      </c>
      <c r="D91" t="s">
        <v>39</v>
      </c>
      <c r="E91" t="s">
        <v>25</v>
      </c>
      <c r="F91" t="s">
        <v>1241</v>
      </c>
      <c r="G91" t="s">
        <v>18</v>
      </c>
      <c r="H91">
        <v>3</v>
      </c>
      <c r="I91">
        <v>184.81</v>
      </c>
      <c r="J91">
        <v>0</v>
      </c>
      <c r="K91">
        <v>554.42999999999995</v>
      </c>
      <c r="L91">
        <v>158.08000000000001</v>
      </c>
      <c r="M91">
        <v>474.24</v>
      </c>
      <c r="N91">
        <v>39</v>
      </c>
      <c r="O91" t="s">
        <v>19</v>
      </c>
      <c r="P91" t="s">
        <v>43</v>
      </c>
    </row>
    <row r="92" spans="1:16">
      <c r="A92">
        <v>100513</v>
      </c>
      <c r="B92" s="4">
        <v>45348</v>
      </c>
      <c r="C92" t="s">
        <v>143</v>
      </c>
      <c r="D92" t="s">
        <v>87</v>
      </c>
      <c r="E92" t="s">
        <v>25</v>
      </c>
      <c r="F92" t="s">
        <v>1237</v>
      </c>
      <c r="G92" t="s">
        <v>31</v>
      </c>
      <c r="H92">
        <v>6</v>
      </c>
      <c r="I92">
        <v>94.05</v>
      </c>
      <c r="J92">
        <v>5</v>
      </c>
      <c r="K92">
        <v>536.08000000000004</v>
      </c>
      <c r="L92">
        <v>131.25</v>
      </c>
      <c r="M92">
        <v>787.5</v>
      </c>
      <c r="N92">
        <v>27</v>
      </c>
      <c r="O92" t="s">
        <v>19</v>
      </c>
      <c r="P92" t="s">
        <v>35</v>
      </c>
    </row>
    <row r="93" spans="1:16">
      <c r="A93">
        <v>101109</v>
      </c>
      <c r="B93" s="4">
        <v>45309</v>
      </c>
      <c r="C93" t="s">
        <v>1114</v>
      </c>
      <c r="D93" t="s">
        <v>42</v>
      </c>
      <c r="E93" t="s">
        <v>25</v>
      </c>
      <c r="F93" t="s">
        <v>1241</v>
      </c>
      <c r="G93" t="s">
        <v>18</v>
      </c>
      <c r="H93">
        <v>3</v>
      </c>
      <c r="I93">
        <v>146.69</v>
      </c>
      <c r="J93">
        <v>0</v>
      </c>
      <c r="K93">
        <v>440.07</v>
      </c>
      <c r="L93">
        <v>146.22999999999999</v>
      </c>
      <c r="M93">
        <v>438.68999999999994</v>
      </c>
      <c r="N93">
        <v>21</v>
      </c>
      <c r="O93" t="s">
        <v>26</v>
      </c>
      <c r="P93" t="s">
        <v>32</v>
      </c>
    </row>
    <row r="94" spans="1:16">
      <c r="A94">
        <v>100286</v>
      </c>
      <c r="B94" s="4">
        <v>45492</v>
      </c>
      <c r="C94" t="s">
        <v>145</v>
      </c>
      <c r="D94" t="s">
        <v>42</v>
      </c>
      <c r="E94" t="s">
        <v>25</v>
      </c>
      <c r="F94" t="s">
        <v>1238</v>
      </c>
      <c r="G94" t="s">
        <v>31</v>
      </c>
      <c r="H94">
        <v>3</v>
      </c>
      <c r="I94">
        <v>172.13</v>
      </c>
      <c r="J94">
        <v>5</v>
      </c>
      <c r="K94">
        <v>490.57</v>
      </c>
      <c r="L94">
        <v>163.9</v>
      </c>
      <c r="M94">
        <v>491.70000000000005</v>
      </c>
      <c r="N94">
        <v>24</v>
      </c>
      <c r="O94" t="s">
        <v>19</v>
      </c>
      <c r="P94" t="s">
        <v>35</v>
      </c>
    </row>
    <row r="95" spans="1:16">
      <c r="A95">
        <v>100748</v>
      </c>
      <c r="B95" s="4">
        <v>45832</v>
      </c>
      <c r="C95" t="s">
        <v>1113</v>
      </c>
      <c r="D95" t="s">
        <v>42</v>
      </c>
      <c r="E95" t="s">
        <v>25</v>
      </c>
      <c r="F95" t="s">
        <v>1241</v>
      </c>
      <c r="G95" t="s">
        <v>31</v>
      </c>
      <c r="H95">
        <v>4</v>
      </c>
      <c r="I95">
        <v>148.94999999999999</v>
      </c>
      <c r="J95">
        <v>5</v>
      </c>
      <c r="K95">
        <v>566.01</v>
      </c>
      <c r="L95">
        <v>168.92</v>
      </c>
      <c r="M95">
        <v>675.68</v>
      </c>
      <c r="N95">
        <v>16</v>
      </c>
      <c r="O95" t="s">
        <v>26</v>
      </c>
      <c r="P95" t="s">
        <v>27</v>
      </c>
    </row>
    <row r="96" spans="1:16">
      <c r="A96">
        <v>101007</v>
      </c>
      <c r="B96" s="4">
        <v>45575</v>
      </c>
      <c r="C96" t="s">
        <v>147</v>
      </c>
      <c r="D96" t="s">
        <v>73</v>
      </c>
      <c r="E96" t="s">
        <v>25</v>
      </c>
      <c r="F96" t="s">
        <v>1237</v>
      </c>
      <c r="G96" t="s">
        <v>31</v>
      </c>
      <c r="H96">
        <v>3</v>
      </c>
      <c r="I96">
        <v>36.51</v>
      </c>
      <c r="J96">
        <v>0</v>
      </c>
      <c r="K96">
        <v>109.53</v>
      </c>
      <c r="L96">
        <v>37.47</v>
      </c>
      <c r="M96">
        <v>112.41</v>
      </c>
      <c r="N96">
        <v>30</v>
      </c>
      <c r="O96" t="s">
        <v>26</v>
      </c>
      <c r="P96" t="s">
        <v>35</v>
      </c>
    </row>
    <row r="97" spans="1:16">
      <c r="A97">
        <v>100670</v>
      </c>
      <c r="B97" s="4">
        <v>45175</v>
      </c>
      <c r="C97" t="s">
        <v>148</v>
      </c>
      <c r="D97" t="s">
        <v>68</v>
      </c>
      <c r="E97" t="s">
        <v>25</v>
      </c>
      <c r="F97" t="s">
        <v>1237</v>
      </c>
      <c r="G97" t="s">
        <v>48</v>
      </c>
      <c r="H97">
        <v>2</v>
      </c>
      <c r="I97">
        <v>207.35</v>
      </c>
      <c r="J97">
        <v>10</v>
      </c>
      <c r="K97">
        <v>373.23</v>
      </c>
      <c r="L97">
        <v>82.8</v>
      </c>
      <c r="M97">
        <v>165.6</v>
      </c>
      <c r="N97">
        <v>40</v>
      </c>
      <c r="O97" t="s">
        <v>19</v>
      </c>
      <c r="P97" t="s">
        <v>27</v>
      </c>
    </row>
    <row r="98" spans="1:16">
      <c r="A98">
        <v>100534</v>
      </c>
      <c r="B98" s="4">
        <v>45460</v>
      </c>
      <c r="C98" t="s">
        <v>149</v>
      </c>
      <c r="D98" t="s">
        <v>73</v>
      </c>
      <c r="E98" t="s">
        <v>25</v>
      </c>
      <c r="F98" t="s">
        <v>1237</v>
      </c>
      <c r="G98" t="s">
        <v>18</v>
      </c>
      <c r="H98">
        <v>3</v>
      </c>
      <c r="I98">
        <v>33.51</v>
      </c>
      <c r="J98">
        <v>5</v>
      </c>
      <c r="K98">
        <v>95.5</v>
      </c>
      <c r="L98">
        <v>30.96</v>
      </c>
      <c r="M98">
        <v>92.88</v>
      </c>
      <c r="N98">
        <v>27</v>
      </c>
      <c r="O98" t="s">
        <v>26</v>
      </c>
      <c r="P98" t="s">
        <v>81</v>
      </c>
    </row>
    <row r="99" spans="1:16">
      <c r="A99">
        <v>100540</v>
      </c>
      <c r="B99" s="4">
        <v>45293</v>
      </c>
      <c r="C99" t="s">
        <v>1112</v>
      </c>
      <c r="D99" t="s">
        <v>68</v>
      </c>
      <c r="E99" t="s">
        <v>25</v>
      </c>
      <c r="F99" t="s">
        <v>1241</v>
      </c>
      <c r="G99" t="s">
        <v>31</v>
      </c>
      <c r="H99">
        <v>3</v>
      </c>
      <c r="I99">
        <v>233.52</v>
      </c>
      <c r="J99">
        <v>40</v>
      </c>
      <c r="K99">
        <v>420.34</v>
      </c>
      <c r="L99">
        <v>130.63</v>
      </c>
      <c r="M99">
        <v>391.89</v>
      </c>
      <c r="N99">
        <v>30</v>
      </c>
      <c r="O99" t="s">
        <v>19</v>
      </c>
      <c r="P99" t="s">
        <v>46</v>
      </c>
    </row>
    <row r="100" spans="1:16">
      <c r="A100">
        <v>100292</v>
      </c>
      <c r="B100" s="4">
        <v>45360</v>
      </c>
      <c r="C100" t="s">
        <v>151</v>
      </c>
      <c r="D100" t="s">
        <v>42</v>
      </c>
      <c r="E100" t="s">
        <v>25</v>
      </c>
      <c r="F100" t="s">
        <v>1238</v>
      </c>
      <c r="G100" t="s">
        <v>48</v>
      </c>
      <c r="H100">
        <v>4</v>
      </c>
      <c r="I100">
        <v>159.65</v>
      </c>
      <c r="J100">
        <v>5</v>
      </c>
      <c r="K100">
        <v>606.66999999999996</v>
      </c>
      <c r="L100">
        <v>235.76</v>
      </c>
      <c r="M100">
        <v>943.04</v>
      </c>
      <c r="N100">
        <v>22</v>
      </c>
      <c r="O100" t="s">
        <v>19</v>
      </c>
      <c r="P100" t="s">
        <v>35</v>
      </c>
    </row>
    <row r="101" spans="1:16">
      <c r="A101">
        <v>100123</v>
      </c>
      <c r="B101" s="4">
        <v>45744</v>
      </c>
      <c r="C101" t="s">
        <v>152</v>
      </c>
      <c r="D101" t="s">
        <v>42</v>
      </c>
      <c r="E101" t="s">
        <v>25</v>
      </c>
      <c r="F101" t="s">
        <v>1239</v>
      </c>
      <c r="G101" t="s">
        <v>18</v>
      </c>
      <c r="H101">
        <v>4</v>
      </c>
      <c r="I101">
        <v>159.31</v>
      </c>
      <c r="J101">
        <v>10</v>
      </c>
      <c r="K101">
        <v>573.52</v>
      </c>
      <c r="L101">
        <v>164.35</v>
      </c>
      <c r="M101">
        <v>657.4</v>
      </c>
      <c r="N101">
        <v>21</v>
      </c>
      <c r="O101" t="s">
        <v>26</v>
      </c>
      <c r="P101" t="s">
        <v>51</v>
      </c>
    </row>
    <row r="102" spans="1:16">
      <c r="A102">
        <v>100582</v>
      </c>
      <c r="B102" s="4">
        <v>45163</v>
      </c>
      <c r="C102" t="s">
        <v>153</v>
      </c>
      <c r="D102" t="s">
        <v>39</v>
      </c>
      <c r="E102" t="s">
        <v>25</v>
      </c>
      <c r="F102" t="s">
        <v>1237</v>
      </c>
      <c r="G102" t="s">
        <v>31</v>
      </c>
      <c r="H102">
        <v>1</v>
      </c>
      <c r="I102">
        <v>173.04</v>
      </c>
      <c r="J102">
        <v>5</v>
      </c>
      <c r="K102">
        <v>164.39</v>
      </c>
      <c r="L102">
        <v>44.29</v>
      </c>
      <c r="M102">
        <v>44.29</v>
      </c>
      <c r="N102">
        <v>27</v>
      </c>
      <c r="O102" t="s">
        <v>26</v>
      </c>
      <c r="P102" t="s">
        <v>46</v>
      </c>
    </row>
    <row r="103" spans="1:16">
      <c r="A103">
        <v>100140</v>
      </c>
      <c r="B103" s="4">
        <v>44934</v>
      </c>
      <c r="C103" t="s">
        <v>154</v>
      </c>
      <c r="D103" t="s">
        <v>73</v>
      </c>
      <c r="E103" t="s">
        <v>25</v>
      </c>
      <c r="F103" t="s">
        <v>1241</v>
      </c>
      <c r="G103" t="s">
        <v>18</v>
      </c>
      <c r="H103">
        <v>1</v>
      </c>
      <c r="I103">
        <v>36.07</v>
      </c>
      <c r="J103">
        <v>5</v>
      </c>
      <c r="K103">
        <v>34.270000000000003</v>
      </c>
      <c r="L103">
        <v>6.22</v>
      </c>
      <c r="M103">
        <v>6.22</v>
      </c>
      <c r="N103">
        <v>34</v>
      </c>
      <c r="O103" t="s">
        <v>26</v>
      </c>
      <c r="P103" t="s">
        <v>43</v>
      </c>
    </row>
    <row r="104" spans="1:16">
      <c r="A104">
        <v>101059</v>
      </c>
      <c r="B104" s="4">
        <v>45417</v>
      </c>
      <c r="C104" t="s">
        <v>1111</v>
      </c>
      <c r="D104" t="s">
        <v>68</v>
      </c>
      <c r="E104" t="s">
        <v>25</v>
      </c>
      <c r="F104" t="s">
        <v>1238</v>
      </c>
      <c r="G104" t="s">
        <v>18</v>
      </c>
      <c r="H104">
        <v>4</v>
      </c>
      <c r="I104">
        <v>203.77</v>
      </c>
      <c r="J104">
        <v>20</v>
      </c>
      <c r="K104">
        <v>652.05999999999995</v>
      </c>
      <c r="L104">
        <v>179.72</v>
      </c>
      <c r="M104">
        <v>718.88</v>
      </c>
      <c r="N104">
        <v>18</v>
      </c>
      <c r="O104" t="s">
        <v>26</v>
      </c>
      <c r="P104" t="s">
        <v>81</v>
      </c>
    </row>
    <row r="105" spans="1:16">
      <c r="A105">
        <v>100081</v>
      </c>
      <c r="B105" s="4">
        <v>45197</v>
      </c>
      <c r="C105" t="s">
        <v>156</v>
      </c>
      <c r="D105" t="s">
        <v>24</v>
      </c>
      <c r="E105" t="s">
        <v>25</v>
      </c>
      <c r="F105" t="s">
        <v>1241</v>
      </c>
      <c r="G105" t="s">
        <v>18</v>
      </c>
      <c r="H105">
        <v>3</v>
      </c>
      <c r="I105">
        <v>105.4</v>
      </c>
      <c r="J105">
        <v>20</v>
      </c>
      <c r="K105">
        <v>252.96</v>
      </c>
      <c r="L105">
        <v>54</v>
      </c>
      <c r="M105">
        <v>162</v>
      </c>
      <c r="N105">
        <v>41</v>
      </c>
      <c r="O105" t="s">
        <v>26</v>
      </c>
      <c r="P105" t="s">
        <v>46</v>
      </c>
    </row>
    <row r="106" spans="1:16">
      <c r="A106">
        <v>100881</v>
      </c>
      <c r="B106" s="4">
        <v>45369</v>
      </c>
      <c r="C106" t="s">
        <v>157</v>
      </c>
      <c r="D106" t="s">
        <v>39</v>
      </c>
      <c r="E106" t="s">
        <v>25</v>
      </c>
      <c r="F106" t="s">
        <v>1237</v>
      </c>
      <c r="G106" t="s">
        <v>18</v>
      </c>
      <c r="H106">
        <v>4</v>
      </c>
      <c r="I106">
        <v>187.89</v>
      </c>
      <c r="J106">
        <v>0</v>
      </c>
      <c r="K106">
        <v>751.56</v>
      </c>
      <c r="L106">
        <v>230.22</v>
      </c>
      <c r="M106">
        <v>920.88</v>
      </c>
      <c r="N106">
        <v>20</v>
      </c>
      <c r="O106" t="s">
        <v>26</v>
      </c>
      <c r="P106" t="s">
        <v>27</v>
      </c>
    </row>
    <row r="107" spans="1:16">
      <c r="A107">
        <v>100739</v>
      </c>
      <c r="B107" s="4">
        <v>45110</v>
      </c>
      <c r="C107" t="s">
        <v>158</v>
      </c>
      <c r="D107" t="s">
        <v>39</v>
      </c>
      <c r="E107" t="s">
        <v>25</v>
      </c>
      <c r="F107" t="s">
        <v>1238</v>
      </c>
      <c r="G107" t="s">
        <v>18</v>
      </c>
      <c r="H107">
        <v>5</v>
      </c>
      <c r="I107">
        <v>176.55</v>
      </c>
      <c r="J107">
        <v>0</v>
      </c>
      <c r="K107">
        <v>882.75</v>
      </c>
      <c r="L107">
        <v>279.52999999999997</v>
      </c>
      <c r="M107">
        <v>1397.6499999999999</v>
      </c>
      <c r="N107">
        <v>31</v>
      </c>
      <c r="O107" t="s">
        <v>26</v>
      </c>
      <c r="P107" t="s">
        <v>27</v>
      </c>
    </row>
    <row r="108" spans="1:16">
      <c r="A108">
        <v>100577</v>
      </c>
      <c r="B108" s="4">
        <v>45513</v>
      </c>
      <c r="C108" t="s">
        <v>1109</v>
      </c>
      <c r="D108" t="s">
        <v>68</v>
      </c>
      <c r="E108" t="s">
        <v>25</v>
      </c>
      <c r="F108" t="s">
        <v>1238</v>
      </c>
      <c r="G108" t="s">
        <v>31</v>
      </c>
      <c r="H108">
        <v>5</v>
      </c>
      <c r="I108">
        <v>207.82</v>
      </c>
      <c r="J108">
        <v>5</v>
      </c>
      <c r="K108">
        <v>987.14</v>
      </c>
      <c r="L108">
        <v>261.25</v>
      </c>
      <c r="M108">
        <v>1306.25</v>
      </c>
      <c r="N108">
        <v>36</v>
      </c>
      <c r="O108" t="s">
        <v>26</v>
      </c>
      <c r="P108" t="s">
        <v>35</v>
      </c>
    </row>
    <row r="109" spans="1:16">
      <c r="A109">
        <v>100908</v>
      </c>
      <c r="B109" s="4">
        <v>45318</v>
      </c>
      <c r="C109" t="s">
        <v>160</v>
      </c>
      <c r="D109" t="s">
        <v>39</v>
      </c>
      <c r="E109" t="s">
        <v>25</v>
      </c>
      <c r="F109" t="s">
        <v>1241</v>
      </c>
      <c r="G109" t="s">
        <v>31</v>
      </c>
      <c r="H109">
        <v>2</v>
      </c>
      <c r="I109">
        <v>181.59</v>
      </c>
      <c r="J109">
        <v>20</v>
      </c>
      <c r="K109">
        <v>290.54000000000002</v>
      </c>
      <c r="L109">
        <v>96.12</v>
      </c>
      <c r="M109">
        <v>192.24</v>
      </c>
      <c r="N109">
        <v>24</v>
      </c>
      <c r="O109" t="s">
        <v>26</v>
      </c>
      <c r="P109" t="s">
        <v>27</v>
      </c>
    </row>
    <row r="110" spans="1:16">
      <c r="A110">
        <v>101166</v>
      </c>
      <c r="B110" s="4">
        <v>45581</v>
      </c>
      <c r="C110" t="s">
        <v>161</v>
      </c>
      <c r="D110" t="s">
        <v>87</v>
      </c>
      <c r="E110" t="s">
        <v>25</v>
      </c>
      <c r="F110" t="s">
        <v>1239</v>
      </c>
      <c r="G110" t="s">
        <v>31</v>
      </c>
      <c r="H110">
        <v>2</v>
      </c>
      <c r="I110">
        <v>74.08</v>
      </c>
      <c r="J110">
        <v>0</v>
      </c>
      <c r="K110">
        <v>148.16</v>
      </c>
      <c r="L110">
        <v>37.58</v>
      </c>
      <c r="M110">
        <v>75.16</v>
      </c>
      <c r="N110">
        <v>41</v>
      </c>
      <c r="O110" t="s">
        <v>19</v>
      </c>
      <c r="P110" t="s">
        <v>46</v>
      </c>
    </row>
    <row r="111" spans="1:16">
      <c r="A111">
        <v>100936</v>
      </c>
      <c r="B111" s="4">
        <v>45743</v>
      </c>
      <c r="C111" t="s">
        <v>162</v>
      </c>
      <c r="D111" t="s">
        <v>42</v>
      </c>
      <c r="E111" t="s">
        <v>25</v>
      </c>
      <c r="F111" t="s">
        <v>1241</v>
      </c>
      <c r="G111" t="s">
        <v>31</v>
      </c>
      <c r="H111">
        <v>2</v>
      </c>
      <c r="I111">
        <v>170.34</v>
      </c>
      <c r="J111">
        <v>0</v>
      </c>
      <c r="K111">
        <v>340.68</v>
      </c>
      <c r="L111">
        <v>87.76</v>
      </c>
      <c r="M111">
        <v>175.52</v>
      </c>
      <c r="N111">
        <v>16</v>
      </c>
      <c r="O111" t="s">
        <v>19</v>
      </c>
      <c r="P111" t="s">
        <v>43</v>
      </c>
    </row>
    <row r="112" spans="1:16">
      <c r="A112">
        <v>100681</v>
      </c>
      <c r="B112" s="4">
        <v>45685</v>
      </c>
      <c r="C112" t="s">
        <v>1108</v>
      </c>
      <c r="D112" t="s">
        <v>70</v>
      </c>
      <c r="E112" t="s">
        <v>25</v>
      </c>
      <c r="F112" t="s">
        <v>1241</v>
      </c>
      <c r="G112" t="s">
        <v>31</v>
      </c>
      <c r="H112">
        <v>4</v>
      </c>
      <c r="I112">
        <v>140.09</v>
      </c>
      <c r="J112">
        <v>0</v>
      </c>
      <c r="K112">
        <v>560.36</v>
      </c>
      <c r="L112">
        <v>172.6</v>
      </c>
      <c r="M112">
        <v>690.4</v>
      </c>
      <c r="N112">
        <v>47</v>
      </c>
      <c r="O112" t="s">
        <v>26</v>
      </c>
      <c r="P112" t="s">
        <v>27</v>
      </c>
    </row>
    <row r="113" spans="1:16">
      <c r="A113">
        <v>100556</v>
      </c>
      <c r="B113" s="4">
        <v>45291</v>
      </c>
      <c r="C113" t="s">
        <v>1107</v>
      </c>
      <c r="D113" t="s">
        <v>68</v>
      </c>
      <c r="E113" t="s">
        <v>25</v>
      </c>
      <c r="F113" t="s">
        <v>1238</v>
      </c>
      <c r="G113" t="s">
        <v>31</v>
      </c>
      <c r="H113">
        <v>7</v>
      </c>
      <c r="I113">
        <v>242.24</v>
      </c>
      <c r="J113">
        <v>10</v>
      </c>
      <c r="K113">
        <v>1526.11</v>
      </c>
      <c r="L113">
        <v>393.25</v>
      </c>
      <c r="M113">
        <v>2752.75</v>
      </c>
      <c r="N113">
        <v>33</v>
      </c>
      <c r="O113" t="s">
        <v>26</v>
      </c>
      <c r="P113" t="s">
        <v>20</v>
      </c>
    </row>
    <row r="114" spans="1:16">
      <c r="A114">
        <v>100645</v>
      </c>
      <c r="B114" s="4">
        <v>45011</v>
      </c>
      <c r="C114" t="s">
        <v>1105</v>
      </c>
      <c r="D114" t="s">
        <v>68</v>
      </c>
      <c r="E114" t="s">
        <v>25</v>
      </c>
      <c r="F114" t="s">
        <v>1239</v>
      </c>
      <c r="G114" t="s">
        <v>18</v>
      </c>
      <c r="H114">
        <v>2</v>
      </c>
      <c r="I114">
        <v>216.3</v>
      </c>
      <c r="J114">
        <v>0</v>
      </c>
      <c r="K114">
        <v>432.6</v>
      </c>
      <c r="L114">
        <v>118.14</v>
      </c>
      <c r="M114">
        <v>236.28</v>
      </c>
      <c r="N114">
        <v>28</v>
      </c>
      <c r="O114" t="s">
        <v>26</v>
      </c>
      <c r="P114" t="s">
        <v>20</v>
      </c>
    </row>
    <row r="115" spans="1:16">
      <c r="A115">
        <v>100991</v>
      </c>
      <c r="B115" s="4">
        <v>45597</v>
      </c>
      <c r="C115" t="s">
        <v>166</v>
      </c>
      <c r="D115" t="s">
        <v>42</v>
      </c>
      <c r="E115" t="s">
        <v>25</v>
      </c>
      <c r="F115" t="s">
        <v>1238</v>
      </c>
      <c r="G115" t="s">
        <v>31</v>
      </c>
      <c r="H115">
        <v>5</v>
      </c>
      <c r="I115">
        <v>157.84</v>
      </c>
      <c r="J115">
        <v>0</v>
      </c>
      <c r="K115">
        <v>789.2</v>
      </c>
      <c r="L115">
        <v>266.93</v>
      </c>
      <c r="M115">
        <v>1334.65</v>
      </c>
      <c r="N115">
        <v>22</v>
      </c>
      <c r="O115" t="s">
        <v>19</v>
      </c>
      <c r="P115" t="s">
        <v>51</v>
      </c>
    </row>
    <row r="116" spans="1:16">
      <c r="A116">
        <v>101171</v>
      </c>
      <c r="B116" s="4">
        <v>45240</v>
      </c>
      <c r="C116" t="s">
        <v>1102</v>
      </c>
      <c r="D116" t="s">
        <v>39</v>
      </c>
      <c r="E116" t="s">
        <v>25</v>
      </c>
      <c r="F116" t="s">
        <v>1237</v>
      </c>
      <c r="G116" t="s">
        <v>18</v>
      </c>
      <c r="H116">
        <v>3</v>
      </c>
      <c r="I116">
        <v>173.57</v>
      </c>
      <c r="J116">
        <v>5</v>
      </c>
      <c r="K116">
        <v>494.67</v>
      </c>
      <c r="L116">
        <v>161.69</v>
      </c>
      <c r="M116">
        <v>485.07</v>
      </c>
      <c r="N116">
        <v>35</v>
      </c>
      <c r="O116" t="s">
        <v>26</v>
      </c>
      <c r="P116" t="s">
        <v>43</v>
      </c>
    </row>
    <row r="117" spans="1:16">
      <c r="A117">
        <v>101078</v>
      </c>
      <c r="B117" s="4">
        <v>45880</v>
      </c>
      <c r="C117" t="s">
        <v>1092</v>
      </c>
      <c r="D117" t="s">
        <v>42</v>
      </c>
      <c r="E117" t="s">
        <v>25</v>
      </c>
      <c r="F117" t="s">
        <v>1241</v>
      </c>
      <c r="G117" t="s">
        <v>18</v>
      </c>
      <c r="H117">
        <v>2</v>
      </c>
      <c r="I117">
        <v>130.94999999999999</v>
      </c>
      <c r="J117">
        <v>40</v>
      </c>
      <c r="K117">
        <v>157.13999999999999</v>
      </c>
      <c r="L117">
        <v>45.5</v>
      </c>
      <c r="M117">
        <v>91</v>
      </c>
      <c r="N117">
        <v>16</v>
      </c>
      <c r="O117" t="s">
        <v>19</v>
      </c>
      <c r="P117" t="s">
        <v>51</v>
      </c>
    </row>
    <row r="118" spans="1:16">
      <c r="A118">
        <v>100001</v>
      </c>
      <c r="B118" s="4">
        <v>44957</v>
      </c>
      <c r="C118" t="s">
        <v>1088</v>
      </c>
      <c r="D118" t="s">
        <v>24</v>
      </c>
      <c r="E118" t="s">
        <v>25</v>
      </c>
      <c r="F118" t="s">
        <v>1238</v>
      </c>
      <c r="G118" t="s">
        <v>18</v>
      </c>
      <c r="H118">
        <v>2</v>
      </c>
      <c r="I118">
        <v>102.68</v>
      </c>
      <c r="J118">
        <v>20</v>
      </c>
      <c r="K118">
        <v>164.29</v>
      </c>
      <c r="L118">
        <v>44.52</v>
      </c>
      <c r="M118">
        <v>89.04</v>
      </c>
      <c r="N118">
        <v>25</v>
      </c>
      <c r="O118" t="s">
        <v>26</v>
      </c>
      <c r="P118" t="s">
        <v>32</v>
      </c>
    </row>
    <row r="119" spans="1:16">
      <c r="A119">
        <v>100158</v>
      </c>
      <c r="B119" s="4">
        <v>45085</v>
      </c>
      <c r="C119" t="s">
        <v>170</v>
      </c>
      <c r="D119" t="s">
        <v>24</v>
      </c>
      <c r="E119" t="s">
        <v>25</v>
      </c>
      <c r="F119" t="s">
        <v>1237</v>
      </c>
      <c r="G119" t="s">
        <v>31</v>
      </c>
      <c r="H119">
        <v>3</v>
      </c>
      <c r="I119">
        <v>112.55</v>
      </c>
      <c r="J119">
        <v>5</v>
      </c>
      <c r="K119">
        <v>320.77</v>
      </c>
      <c r="L119">
        <v>85.58</v>
      </c>
      <c r="M119">
        <v>256.74</v>
      </c>
      <c r="N119">
        <v>31</v>
      </c>
      <c r="O119" t="s">
        <v>26</v>
      </c>
      <c r="P119" t="s">
        <v>81</v>
      </c>
    </row>
    <row r="120" spans="1:16">
      <c r="A120">
        <v>100641</v>
      </c>
      <c r="B120" s="4">
        <v>45462</v>
      </c>
      <c r="C120" t="s">
        <v>1087</v>
      </c>
      <c r="D120" t="s">
        <v>100</v>
      </c>
      <c r="E120" t="s">
        <v>25</v>
      </c>
      <c r="F120" t="s">
        <v>1238</v>
      </c>
      <c r="G120" t="s">
        <v>31</v>
      </c>
      <c r="H120">
        <v>5</v>
      </c>
      <c r="I120">
        <v>129.19999999999999</v>
      </c>
      <c r="J120">
        <v>10</v>
      </c>
      <c r="K120">
        <v>581.4</v>
      </c>
      <c r="L120">
        <v>211.31</v>
      </c>
      <c r="M120">
        <v>1056.55</v>
      </c>
      <c r="N120">
        <v>31</v>
      </c>
      <c r="O120" t="s">
        <v>19</v>
      </c>
      <c r="P120" t="s">
        <v>27</v>
      </c>
    </row>
    <row r="121" spans="1:16">
      <c r="A121">
        <v>100192</v>
      </c>
      <c r="B121" s="4">
        <v>45793</v>
      </c>
      <c r="C121" t="s">
        <v>172</v>
      </c>
      <c r="D121" t="s">
        <v>24</v>
      </c>
      <c r="E121" t="s">
        <v>25</v>
      </c>
      <c r="F121" t="s">
        <v>1237</v>
      </c>
      <c r="G121" t="s">
        <v>31</v>
      </c>
      <c r="H121">
        <v>6</v>
      </c>
      <c r="I121">
        <v>108.77</v>
      </c>
      <c r="J121">
        <v>40</v>
      </c>
      <c r="K121">
        <v>391.57</v>
      </c>
      <c r="L121">
        <v>124.48</v>
      </c>
      <c r="M121">
        <v>746.88</v>
      </c>
      <c r="N121">
        <v>30</v>
      </c>
      <c r="O121" t="s">
        <v>26</v>
      </c>
      <c r="P121" t="s">
        <v>20</v>
      </c>
    </row>
    <row r="122" spans="1:16">
      <c r="A122">
        <v>100219</v>
      </c>
      <c r="B122" s="4">
        <v>45415</v>
      </c>
      <c r="C122" t="s">
        <v>1086</v>
      </c>
      <c r="D122" t="s">
        <v>73</v>
      </c>
      <c r="E122" t="s">
        <v>25</v>
      </c>
      <c r="F122" t="s">
        <v>1241</v>
      </c>
      <c r="G122" t="s">
        <v>18</v>
      </c>
      <c r="H122">
        <v>3</v>
      </c>
      <c r="I122">
        <v>37.83</v>
      </c>
      <c r="J122">
        <v>0</v>
      </c>
      <c r="K122">
        <v>113.49</v>
      </c>
      <c r="L122">
        <v>34.380000000000003</v>
      </c>
      <c r="M122">
        <v>103.14000000000001</v>
      </c>
      <c r="N122">
        <v>39</v>
      </c>
      <c r="O122" t="s">
        <v>26</v>
      </c>
      <c r="P122" t="s">
        <v>27</v>
      </c>
    </row>
    <row r="123" spans="1:16">
      <c r="A123">
        <v>100854</v>
      </c>
      <c r="B123" s="4">
        <v>45905</v>
      </c>
      <c r="C123" t="s">
        <v>1085</v>
      </c>
      <c r="D123" t="s">
        <v>100</v>
      </c>
      <c r="E123" t="s">
        <v>25</v>
      </c>
      <c r="F123" t="s">
        <v>1237</v>
      </c>
      <c r="G123" t="s">
        <v>64</v>
      </c>
      <c r="H123">
        <v>3</v>
      </c>
      <c r="I123">
        <v>132.88999999999999</v>
      </c>
      <c r="J123">
        <v>0</v>
      </c>
      <c r="K123">
        <v>398.67</v>
      </c>
      <c r="L123">
        <v>113.52</v>
      </c>
      <c r="M123">
        <v>340.56</v>
      </c>
      <c r="N123">
        <v>22</v>
      </c>
      <c r="O123" t="s">
        <v>26</v>
      </c>
      <c r="P123" t="s">
        <v>46</v>
      </c>
    </row>
    <row r="124" spans="1:16">
      <c r="A124">
        <v>101139</v>
      </c>
      <c r="B124" s="4">
        <v>45272</v>
      </c>
      <c r="C124" t="s">
        <v>1083</v>
      </c>
      <c r="D124" t="s">
        <v>39</v>
      </c>
      <c r="E124" t="s">
        <v>25</v>
      </c>
      <c r="F124" t="s">
        <v>1241</v>
      </c>
      <c r="G124" t="s">
        <v>48</v>
      </c>
      <c r="H124">
        <v>4</v>
      </c>
      <c r="I124">
        <v>173.14</v>
      </c>
      <c r="J124">
        <v>10</v>
      </c>
      <c r="K124">
        <v>623.29999999999995</v>
      </c>
      <c r="L124">
        <v>146.57</v>
      </c>
      <c r="M124">
        <v>586.28</v>
      </c>
      <c r="N124">
        <v>24</v>
      </c>
      <c r="O124" t="s">
        <v>19</v>
      </c>
      <c r="P124" t="s">
        <v>20</v>
      </c>
    </row>
    <row r="125" spans="1:16">
      <c r="A125">
        <v>100122</v>
      </c>
      <c r="B125" s="4">
        <v>45263</v>
      </c>
      <c r="C125" t="s">
        <v>1079</v>
      </c>
      <c r="D125" t="s">
        <v>68</v>
      </c>
      <c r="E125" t="s">
        <v>25</v>
      </c>
      <c r="F125" t="s">
        <v>1237</v>
      </c>
      <c r="G125" t="s">
        <v>18</v>
      </c>
      <c r="H125">
        <v>2</v>
      </c>
      <c r="I125">
        <v>215.43</v>
      </c>
      <c r="J125">
        <v>0</v>
      </c>
      <c r="K125">
        <v>430.86</v>
      </c>
      <c r="L125">
        <v>96.88</v>
      </c>
      <c r="M125">
        <v>193.76</v>
      </c>
      <c r="N125">
        <v>16</v>
      </c>
      <c r="O125" t="s">
        <v>122</v>
      </c>
      <c r="P125" t="s">
        <v>35</v>
      </c>
    </row>
    <row r="126" spans="1:16">
      <c r="A126">
        <v>100413</v>
      </c>
      <c r="B126" s="4">
        <v>45667</v>
      </c>
      <c r="C126" t="s">
        <v>177</v>
      </c>
      <c r="D126" t="s">
        <v>87</v>
      </c>
      <c r="E126" t="s">
        <v>25</v>
      </c>
      <c r="F126" t="s">
        <v>1237</v>
      </c>
      <c r="G126" t="s">
        <v>31</v>
      </c>
      <c r="H126">
        <v>2</v>
      </c>
      <c r="I126">
        <v>87.26</v>
      </c>
      <c r="J126">
        <v>0</v>
      </c>
      <c r="K126">
        <v>174.52</v>
      </c>
      <c r="L126">
        <v>46.1</v>
      </c>
      <c r="M126">
        <v>92.2</v>
      </c>
      <c r="N126">
        <v>31</v>
      </c>
      <c r="O126" t="s">
        <v>19</v>
      </c>
      <c r="P126" t="s">
        <v>20</v>
      </c>
    </row>
    <row r="127" spans="1:16">
      <c r="A127">
        <v>100400</v>
      </c>
      <c r="B127" s="4">
        <v>45267</v>
      </c>
      <c r="C127" t="s">
        <v>1078</v>
      </c>
      <c r="D127" t="s">
        <v>42</v>
      </c>
      <c r="E127" t="s">
        <v>25</v>
      </c>
      <c r="F127" t="s">
        <v>1241</v>
      </c>
      <c r="G127" t="s">
        <v>31</v>
      </c>
      <c r="H127">
        <v>1</v>
      </c>
      <c r="I127">
        <v>165.61</v>
      </c>
      <c r="J127">
        <v>5</v>
      </c>
      <c r="K127">
        <v>157.33000000000001</v>
      </c>
      <c r="L127">
        <v>47.35</v>
      </c>
      <c r="M127">
        <v>47.35</v>
      </c>
      <c r="N127">
        <v>28</v>
      </c>
      <c r="O127" t="s">
        <v>26</v>
      </c>
      <c r="P127" t="s">
        <v>35</v>
      </c>
    </row>
    <row r="128" spans="1:16">
      <c r="A128">
        <v>100327</v>
      </c>
      <c r="B128" s="4">
        <v>45177</v>
      </c>
      <c r="C128" t="s">
        <v>179</v>
      </c>
      <c r="D128" t="s">
        <v>70</v>
      </c>
      <c r="E128" t="s">
        <v>25</v>
      </c>
      <c r="F128" t="s">
        <v>1238</v>
      </c>
      <c r="G128" t="s">
        <v>18</v>
      </c>
      <c r="H128">
        <v>1</v>
      </c>
      <c r="I128">
        <v>172.06</v>
      </c>
      <c r="J128">
        <v>5</v>
      </c>
      <c r="K128">
        <v>163.46</v>
      </c>
      <c r="L128">
        <v>33.630000000000003</v>
      </c>
      <c r="M128">
        <v>33.630000000000003</v>
      </c>
      <c r="N128">
        <v>27</v>
      </c>
      <c r="O128" t="s">
        <v>19</v>
      </c>
      <c r="P128" t="s">
        <v>81</v>
      </c>
    </row>
    <row r="129" spans="1:16">
      <c r="A129">
        <v>100293</v>
      </c>
      <c r="B129" s="4">
        <v>45222</v>
      </c>
      <c r="C129" t="s">
        <v>1076</v>
      </c>
      <c r="D129" t="s">
        <v>68</v>
      </c>
      <c r="E129" t="s">
        <v>25</v>
      </c>
      <c r="F129" t="s">
        <v>1239</v>
      </c>
      <c r="G129" t="s">
        <v>31</v>
      </c>
      <c r="H129">
        <v>4</v>
      </c>
      <c r="I129">
        <v>225.31</v>
      </c>
      <c r="J129">
        <v>20</v>
      </c>
      <c r="K129">
        <v>720.99</v>
      </c>
      <c r="L129">
        <v>212.69</v>
      </c>
      <c r="M129">
        <v>850.76</v>
      </c>
      <c r="N129">
        <v>28</v>
      </c>
      <c r="O129" t="s">
        <v>19</v>
      </c>
      <c r="P129" t="s">
        <v>81</v>
      </c>
    </row>
    <row r="130" spans="1:16">
      <c r="A130">
        <v>100981</v>
      </c>
      <c r="B130" s="4">
        <v>45192</v>
      </c>
      <c r="C130" t="s">
        <v>1072</v>
      </c>
      <c r="D130" t="s">
        <v>87</v>
      </c>
      <c r="E130" t="s">
        <v>25</v>
      </c>
      <c r="F130" t="s">
        <v>1241</v>
      </c>
      <c r="G130" t="s">
        <v>18</v>
      </c>
      <c r="H130">
        <v>4</v>
      </c>
      <c r="I130">
        <v>82.89</v>
      </c>
      <c r="J130">
        <v>5</v>
      </c>
      <c r="K130">
        <v>314.98</v>
      </c>
      <c r="L130">
        <v>108.31</v>
      </c>
      <c r="M130">
        <v>433.24</v>
      </c>
      <c r="N130">
        <v>28</v>
      </c>
      <c r="O130" t="s">
        <v>19</v>
      </c>
      <c r="P130" t="s">
        <v>51</v>
      </c>
    </row>
    <row r="131" spans="1:16">
      <c r="A131">
        <v>100630</v>
      </c>
      <c r="B131" s="4">
        <v>45587</v>
      </c>
      <c r="C131" t="s">
        <v>182</v>
      </c>
      <c r="D131" t="s">
        <v>70</v>
      </c>
      <c r="E131" t="s">
        <v>25</v>
      </c>
      <c r="F131" t="s">
        <v>1237</v>
      </c>
      <c r="G131" t="s">
        <v>48</v>
      </c>
      <c r="H131">
        <v>4</v>
      </c>
      <c r="I131">
        <v>149.07</v>
      </c>
      <c r="J131">
        <v>10</v>
      </c>
      <c r="K131">
        <v>536.65</v>
      </c>
      <c r="L131">
        <v>128.91999999999999</v>
      </c>
      <c r="M131">
        <v>515.67999999999995</v>
      </c>
      <c r="N131">
        <v>27</v>
      </c>
      <c r="O131" t="s">
        <v>19</v>
      </c>
      <c r="P131" t="s">
        <v>81</v>
      </c>
    </row>
    <row r="132" spans="1:16">
      <c r="A132">
        <v>100274</v>
      </c>
      <c r="B132" s="4">
        <v>45367</v>
      </c>
      <c r="C132" t="s">
        <v>183</v>
      </c>
      <c r="D132" t="s">
        <v>100</v>
      </c>
      <c r="E132" t="s">
        <v>25</v>
      </c>
      <c r="F132" t="s">
        <v>1238</v>
      </c>
      <c r="G132" t="s">
        <v>64</v>
      </c>
      <c r="H132">
        <v>2</v>
      </c>
      <c r="I132">
        <v>138.44999999999999</v>
      </c>
      <c r="J132">
        <v>10</v>
      </c>
      <c r="K132">
        <v>249.21</v>
      </c>
      <c r="L132">
        <v>81.96</v>
      </c>
      <c r="M132">
        <v>163.92</v>
      </c>
      <c r="N132">
        <v>33</v>
      </c>
      <c r="O132" t="s">
        <v>26</v>
      </c>
      <c r="P132" t="s">
        <v>43</v>
      </c>
    </row>
    <row r="133" spans="1:16">
      <c r="A133">
        <v>100143</v>
      </c>
      <c r="B133" s="4">
        <v>45223</v>
      </c>
      <c r="C133" t="s">
        <v>1070</v>
      </c>
      <c r="D133" t="s">
        <v>87</v>
      </c>
      <c r="E133" t="s">
        <v>25</v>
      </c>
      <c r="F133" t="s">
        <v>1240</v>
      </c>
      <c r="G133" t="s">
        <v>18</v>
      </c>
      <c r="H133">
        <v>4</v>
      </c>
      <c r="I133">
        <v>102.9</v>
      </c>
      <c r="J133">
        <v>5</v>
      </c>
      <c r="K133">
        <v>391.02</v>
      </c>
      <c r="L133">
        <v>106.05</v>
      </c>
      <c r="M133">
        <v>424.2</v>
      </c>
      <c r="N133">
        <v>30</v>
      </c>
      <c r="O133" t="s">
        <v>19</v>
      </c>
      <c r="P133" t="s">
        <v>46</v>
      </c>
    </row>
    <row r="134" spans="1:16">
      <c r="A134">
        <v>100186</v>
      </c>
      <c r="B134" s="4">
        <v>45800</v>
      </c>
      <c r="C134" t="s">
        <v>1068</v>
      </c>
      <c r="D134" t="s">
        <v>24</v>
      </c>
      <c r="E134" t="s">
        <v>25</v>
      </c>
      <c r="F134" t="s">
        <v>1239</v>
      </c>
      <c r="G134" t="s">
        <v>18</v>
      </c>
      <c r="H134">
        <v>4</v>
      </c>
      <c r="I134">
        <v>82.96</v>
      </c>
      <c r="J134">
        <v>5</v>
      </c>
      <c r="K134">
        <v>315.25</v>
      </c>
      <c r="L134">
        <v>106.56</v>
      </c>
      <c r="M134">
        <v>426.24</v>
      </c>
      <c r="N134">
        <v>22</v>
      </c>
      <c r="O134" t="s">
        <v>26</v>
      </c>
      <c r="P134" t="s">
        <v>43</v>
      </c>
    </row>
    <row r="135" spans="1:16">
      <c r="A135">
        <v>100659</v>
      </c>
      <c r="B135" s="4">
        <v>45038</v>
      </c>
      <c r="C135" t="s">
        <v>1066</v>
      </c>
      <c r="D135" t="s">
        <v>68</v>
      </c>
      <c r="E135" t="s">
        <v>25</v>
      </c>
      <c r="F135" t="s">
        <v>1238</v>
      </c>
      <c r="G135" t="s">
        <v>31</v>
      </c>
      <c r="H135">
        <v>3</v>
      </c>
      <c r="I135">
        <v>199.43</v>
      </c>
      <c r="J135">
        <v>0</v>
      </c>
      <c r="K135">
        <v>598.29</v>
      </c>
      <c r="L135">
        <v>224.28</v>
      </c>
      <c r="M135">
        <v>672.84</v>
      </c>
      <c r="N135">
        <v>44</v>
      </c>
      <c r="O135" t="s">
        <v>26</v>
      </c>
      <c r="P135" t="s">
        <v>46</v>
      </c>
    </row>
    <row r="136" spans="1:16">
      <c r="A136">
        <v>100954</v>
      </c>
      <c r="B136" s="4">
        <v>45085</v>
      </c>
      <c r="C136" t="s">
        <v>1064</v>
      </c>
      <c r="D136" t="s">
        <v>73</v>
      </c>
      <c r="E136" t="s">
        <v>25</v>
      </c>
      <c r="F136" t="s">
        <v>1239</v>
      </c>
      <c r="G136" t="s">
        <v>31</v>
      </c>
      <c r="H136">
        <v>2</v>
      </c>
      <c r="I136">
        <v>33.6</v>
      </c>
      <c r="J136">
        <v>10</v>
      </c>
      <c r="K136">
        <v>60.48</v>
      </c>
      <c r="L136">
        <v>17.829999999999998</v>
      </c>
      <c r="M136">
        <v>35.659999999999997</v>
      </c>
      <c r="N136">
        <v>32</v>
      </c>
      <c r="O136" t="s">
        <v>26</v>
      </c>
      <c r="P136" t="s">
        <v>32</v>
      </c>
    </row>
    <row r="137" spans="1:16">
      <c r="A137">
        <v>100931</v>
      </c>
      <c r="B137" s="4">
        <v>45788</v>
      </c>
      <c r="C137" t="s">
        <v>1063</v>
      </c>
      <c r="D137" t="s">
        <v>42</v>
      </c>
      <c r="E137" t="s">
        <v>25</v>
      </c>
      <c r="F137" t="s">
        <v>1241</v>
      </c>
      <c r="G137" t="s">
        <v>18</v>
      </c>
      <c r="H137">
        <v>4</v>
      </c>
      <c r="I137">
        <v>174.33</v>
      </c>
      <c r="J137">
        <v>20</v>
      </c>
      <c r="K137">
        <v>557.86</v>
      </c>
      <c r="L137">
        <v>139.22999999999999</v>
      </c>
      <c r="M137">
        <v>556.91999999999996</v>
      </c>
      <c r="N137">
        <v>16</v>
      </c>
      <c r="O137" t="s">
        <v>26</v>
      </c>
      <c r="P137" t="s">
        <v>32</v>
      </c>
    </row>
    <row r="138" spans="1:16">
      <c r="A138">
        <v>100146</v>
      </c>
      <c r="B138" s="4">
        <v>45168</v>
      </c>
      <c r="C138" t="s">
        <v>1058</v>
      </c>
      <c r="D138" t="s">
        <v>87</v>
      </c>
      <c r="E138" t="s">
        <v>25</v>
      </c>
      <c r="F138" t="s">
        <v>1241</v>
      </c>
      <c r="G138" t="s">
        <v>31</v>
      </c>
      <c r="H138">
        <v>3</v>
      </c>
      <c r="I138">
        <v>77.599999999999994</v>
      </c>
      <c r="J138">
        <v>10</v>
      </c>
      <c r="K138">
        <v>209.52</v>
      </c>
      <c r="L138">
        <v>72.59</v>
      </c>
      <c r="M138">
        <v>217.77</v>
      </c>
      <c r="N138">
        <v>29</v>
      </c>
      <c r="O138" t="s">
        <v>19</v>
      </c>
      <c r="P138" t="s">
        <v>27</v>
      </c>
    </row>
    <row r="139" spans="1:16">
      <c r="A139">
        <v>100710</v>
      </c>
      <c r="B139" s="4">
        <v>45273</v>
      </c>
      <c r="C139" t="s">
        <v>1055</v>
      </c>
      <c r="D139" t="s">
        <v>87</v>
      </c>
      <c r="E139" t="s">
        <v>25</v>
      </c>
      <c r="F139" t="s">
        <v>1239</v>
      </c>
      <c r="G139" t="s">
        <v>18</v>
      </c>
      <c r="H139">
        <v>2</v>
      </c>
      <c r="I139">
        <v>75.56</v>
      </c>
      <c r="J139">
        <v>0</v>
      </c>
      <c r="K139">
        <v>151.12</v>
      </c>
      <c r="L139">
        <v>33.24</v>
      </c>
      <c r="M139">
        <v>66.48</v>
      </c>
      <c r="N139">
        <v>22</v>
      </c>
      <c r="O139" t="s">
        <v>19</v>
      </c>
      <c r="P139" t="s">
        <v>20</v>
      </c>
    </row>
    <row r="140" spans="1:16">
      <c r="A140">
        <v>100819</v>
      </c>
      <c r="B140" s="4">
        <v>45433</v>
      </c>
      <c r="C140" t="s">
        <v>1054</v>
      </c>
      <c r="D140" t="s">
        <v>100</v>
      </c>
      <c r="E140" t="s">
        <v>25</v>
      </c>
      <c r="F140" t="s">
        <v>1238</v>
      </c>
      <c r="G140" t="s">
        <v>31</v>
      </c>
      <c r="H140">
        <v>2</v>
      </c>
      <c r="I140">
        <v>140.96</v>
      </c>
      <c r="J140">
        <v>0</v>
      </c>
      <c r="K140">
        <v>281.92</v>
      </c>
      <c r="L140">
        <v>97.1</v>
      </c>
      <c r="M140">
        <v>194.2</v>
      </c>
      <c r="N140">
        <v>32</v>
      </c>
      <c r="O140" t="s">
        <v>26</v>
      </c>
      <c r="P140" t="s">
        <v>20</v>
      </c>
    </row>
    <row r="141" spans="1:16">
      <c r="A141">
        <v>100488</v>
      </c>
      <c r="B141" s="4">
        <v>45728</v>
      </c>
      <c r="C141" t="s">
        <v>1053</v>
      </c>
      <c r="D141" t="s">
        <v>42</v>
      </c>
      <c r="E141" t="s">
        <v>25</v>
      </c>
      <c r="F141" t="s">
        <v>1238</v>
      </c>
      <c r="G141" t="s">
        <v>31</v>
      </c>
      <c r="H141">
        <v>1</v>
      </c>
      <c r="I141">
        <v>143.94</v>
      </c>
      <c r="J141">
        <v>10</v>
      </c>
      <c r="K141">
        <v>129.55000000000001</v>
      </c>
      <c r="L141">
        <v>29.34</v>
      </c>
      <c r="M141">
        <v>29.34</v>
      </c>
      <c r="N141">
        <v>25</v>
      </c>
      <c r="O141" t="s">
        <v>19</v>
      </c>
      <c r="P141" t="s">
        <v>81</v>
      </c>
    </row>
    <row r="142" spans="1:16">
      <c r="A142">
        <v>100935</v>
      </c>
      <c r="B142" s="4">
        <v>45131</v>
      </c>
      <c r="C142" t="s">
        <v>1051</v>
      </c>
      <c r="D142" t="s">
        <v>24</v>
      </c>
      <c r="E142" t="s">
        <v>25</v>
      </c>
      <c r="F142" t="s">
        <v>1241</v>
      </c>
      <c r="G142" t="s">
        <v>18</v>
      </c>
      <c r="H142">
        <v>1</v>
      </c>
      <c r="I142">
        <v>76.73</v>
      </c>
      <c r="J142">
        <v>10</v>
      </c>
      <c r="K142">
        <v>69.06</v>
      </c>
      <c r="L142">
        <v>23.17</v>
      </c>
      <c r="M142">
        <v>23.17</v>
      </c>
      <c r="N142">
        <v>54</v>
      </c>
      <c r="O142" t="s">
        <v>19</v>
      </c>
      <c r="P142" t="s">
        <v>27</v>
      </c>
    </row>
    <row r="143" spans="1:16">
      <c r="A143">
        <v>100550</v>
      </c>
      <c r="B143" s="4">
        <v>45691</v>
      </c>
      <c r="C143" t="s">
        <v>1049</v>
      </c>
      <c r="D143" t="s">
        <v>87</v>
      </c>
      <c r="E143" t="s">
        <v>25</v>
      </c>
      <c r="F143" t="s">
        <v>1237</v>
      </c>
      <c r="G143" t="s">
        <v>31</v>
      </c>
      <c r="H143">
        <v>3</v>
      </c>
      <c r="I143">
        <v>87.2</v>
      </c>
      <c r="J143">
        <v>0</v>
      </c>
      <c r="K143">
        <v>261.60000000000002</v>
      </c>
      <c r="L143">
        <v>63.47</v>
      </c>
      <c r="M143">
        <v>190.41</v>
      </c>
      <c r="N143">
        <v>16</v>
      </c>
      <c r="O143" t="s">
        <v>19</v>
      </c>
      <c r="P143" t="s">
        <v>32</v>
      </c>
    </row>
    <row r="144" spans="1:16">
      <c r="A144">
        <v>100952</v>
      </c>
      <c r="B144" s="4">
        <v>45364</v>
      </c>
      <c r="C144" t="s">
        <v>1043</v>
      </c>
      <c r="D144" t="s">
        <v>24</v>
      </c>
      <c r="E144" t="s">
        <v>25</v>
      </c>
      <c r="F144" t="s">
        <v>1239</v>
      </c>
      <c r="G144" t="s">
        <v>31</v>
      </c>
      <c r="H144">
        <v>4</v>
      </c>
      <c r="I144">
        <v>95.66</v>
      </c>
      <c r="J144">
        <v>0</v>
      </c>
      <c r="K144">
        <v>382.64</v>
      </c>
      <c r="L144">
        <v>106.68</v>
      </c>
      <c r="M144">
        <v>426.72</v>
      </c>
      <c r="N144">
        <v>39</v>
      </c>
      <c r="O144" t="s">
        <v>26</v>
      </c>
      <c r="P144" t="s">
        <v>35</v>
      </c>
    </row>
    <row r="145" spans="1:16">
      <c r="A145">
        <v>100636</v>
      </c>
      <c r="B145" s="4">
        <v>45222</v>
      </c>
      <c r="C145" t="s">
        <v>196</v>
      </c>
      <c r="D145" t="s">
        <v>68</v>
      </c>
      <c r="E145" t="s">
        <v>25</v>
      </c>
      <c r="F145" t="s">
        <v>1241</v>
      </c>
      <c r="G145" t="s">
        <v>18</v>
      </c>
      <c r="H145">
        <v>3</v>
      </c>
      <c r="I145">
        <v>228.65</v>
      </c>
      <c r="J145">
        <v>10</v>
      </c>
      <c r="K145">
        <v>617.36</v>
      </c>
      <c r="L145">
        <v>202.8</v>
      </c>
      <c r="M145">
        <v>608.40000000000009</v>
      </c>
      <c r="N145">
        <v>34</v>
      </c>
      <c r="O145" t="s">
        <v>19</v>
      </c>
      <c r="P145" t="s">
        <v>46</v>
      </c>
    </row>
    <row r="146" spans="1:16">
      <c r="A146">
        <v>100767</v>
      </c>
      <c r="B146" s="4">
        <v>45170</v>
      </c>
      <c r="C146" t="s">
        <v>197</v>
      </c>
      <c r="D146" t="s">
        <v>100</v>
      </c>
      <c r="E146" t="s">
        <v>25</v>
      </c>
      <c r="F146" t="s">
        <v>1237</v>
      </c>
      <c r="G146" t="s">
        <v>18</v>
      </c>
      <c r="H146">
        <v>5</v>
      </c>
      <c r="I146">
        <v>121.9</v>
      </c>
      <c r="J146">
        <v>10</v>
      </c>
      <c r="K146">
        <v>548.54999999999995</v>
      </c>
      <c r="L146">
        <v>197.81</v>
      </c>
      <c r="M146">
        <v>989.05</v>
      </c>
      <c r="N146">
        <v>26</v>
      </c>
      <c r="O146" t="s">
        <v>19</v>
      </c>
      <c r="P146" t="s">
        <v>32</v>
      </c>
    </row>
    <row r="147" spans="1:16">
      <c r="A147">
        <v>100414</v>
      </c>
      <c r="B147" s="4">
        <v>45029</v>
      </c>
      <c r="C147" t="s">
        <v>1039</v>
      </c>
      <c r="D147" t="s">
        <v>42</v>
      </c>
      <c r="E147" t="s">
        <v>25</v>
      </c>
      <c r="F147" t="s">
        <v>1239</v>
      </c>
      <c r="G147" t="s">
        <v>18</v>
      </c>
      <c r="H147">
        <v>4</v>
      </c>
      <c r="I147">
        <v>162.08000000000001</v>
      </c>
      <c r="J147">
        <v>0</v>
      </c>
      <c r="K147">
        <v>648.32000000000005</v>
      </c>
      <c r="L147">
        <v>195.84</v>
      </c>
      <c r="M147">
        <v>783.36</v>
      </c>
      <c r="N147">
        <v>30</v>
      </c>
      <c r="O147" t="s">
        <v>19</v>
      </c>
      <c r="P147" t="s">
        <v>32</v>
      </c>
    </row>
    <row r="148" spans="1:16">
      <c r="A148">
        <v>100717</v>
      </c>
      <c r="B148" s="4">
        <v>45017</v>
      </c>
      <c r="C148" t="s">
        <v>199</v>
      </c>
      <c r="D148" t="s">
        <v>39</v>
      </c>
      <c r="E148" t="s">
        <v>25</v>
      </c>
      <c r="F148" t="s">
        <v>1239</v>
      </c>
      <c r="G148" t="s">
        <v>18</v>
      </c>
      <c r="H148">
        <v>3</v>
      </c>
      <c r="I148">
        <v>164.39</v>
      </c>
      <c r="J148">
        <v>5</v>
      </c>
      <c r="K148">
        <v>468.51</v>
      </c>
      <c r="L148">
        <v>126.16</v>
      </c>
      <c r="M148">
        <v>378.48</v>
      </c>
      <c r="N148">
        <v>24</v>
      </c>
      <c r="O148" t="s">
        <v>19</v>
      </c>
      <c r="P148" t="s">
        <v>35</v>
      </c>
    </row>
    <row r="149" spans="1:16">
      <c r="A149">
        <v>100297</v>
      </c>
      <c r="B149" s="4">
        <v>45482</v>
      </c>
      <c r="C149" t="s">
        <v>1037</v>
      </c>
      <c r="D149" t="s">
        <v>70</v>
      </c>
      <c r="E149" t="s">
        <v>25</v>
      </c>
      <c r="F149" t="s">
        <v>1238</v>
      </c>
      <c r="G149" t="s">
        <v>18</v>
      </c>
      <c r="H149">
        <v>2</v>
      </c>
      <c r="I149">
        <v>156.19</v>
      </c>
      <c r="J149">
        <v>0</v>
      </c>
      <c r="K149">
        <v>312.38</v>
      </c>
      <c r="L149">
        <v>69.31</v>
      </c>
      <c r="M149">
        <v>138.62</v>
      </c>
      <c r="N149">
        <v>25</v>
      </c>
      <c r="O149" t="s">
        <v>26</v>
      </c>
      <c r="P149" t="s">
        <v>51</v>
      </c>
    </row>
    <row r="150" spans="1:16">
      <c r="A150">
        <v>100597</v>
      </c>
      <c r="B150" s="4">
        <v>45801</v>
      </c>
      <c r="C150" t="s">
        <v>201</v>
      </c>
      <c r="D150" t="s">
        <v>70</v>
      </c>
      <c r="E150" t="s">
        <v>25</v>
      </c>
      <c r="F150" t="s">
        <v>1239</v>
      </c>
      <c r="G150" t="s">
        <v>18</v>
      </c>
      <c r="H150">
        <v>4</v>
      </c>
      <c r="I150">
        <v>163.38999999999999</v>
      </c>
      <c r="J150">
        <v>0</v>
      </c>
      <c r="K150">
        <v>653.55999999999995</v>
      </c>
      <c r="L150">
        <v>153.12</v>
      </c>
      <c r="M150">
        <v>612.48</v>
      </c>
      <c r="N150">
        <v>44</v>
      </c>
      <c r="O150" t="s">
        <v>19</v>
      </c>
      <c r="P150" t="s">
        <v>81</v>
      </c>
    </row>
    <row r="151" spans="1:16">
      <c r="A151">
        <v>100481</v>
      </c>
      <c r="B151" s="4">
        <v>45850</v>
      </c>
      <c r="C151" t="s">
        <v>202</v>
      </c>
      <c r="D151" t="s">
        <v>100</v>
      </c>
      <c r="E151" t="s">
        <v>25</v>
      </c>
      <c r="F151" t="s">
        <v>1241</v>
      </c>
      <c r="G151" t="s">
        <v>64</v>
      </c>
      <c r="H151">
        <v>3</v>
      </c>
      <c r="I151">
        <v>116.64</v>
      </c>
      <c r="J151">
        <v>0</v>
      </c>
      <c r="K151">
        <v>349.92</v>
      </c>
      <c r="L151">
        <v>99.73</v>
      </c>
      <c r="M151">
        <v>299.19</v>
      </c>
      <c r="N151">
        <v>29</v>
      </c>
      <c r="O151" t="s">
        <v>19</v>
      </c>
      <c r="P151" t="s">
        <v>32</v>
      </c>
    </row>
    <row r="152" spans="1:16">
      <c r="A152">
        <v>100610</v>
      </c>
      <c r="B152" s="4">
        <v>45214</v>
      </c>
      <c r="C152" t="s">
        <v>1036</v>
      </c>
      <c r="D152" t="s">
        <v>39</v>
      </c>
      <c r="E152" t="s">
        <v>25</v>
      </c>
      <c r="F152" t="s">
        <v>1238</v>
      </c>
      <c r="G152" t="s">
        <v>31</v>
      </c>
      <c r="H152">
        <v>3</v>
      </c>
      <c r="I152">
        <v>189.4</v>
      </c>
      <c r="J152">
        <v>5</v>
      </c>
      <c r="K152">
        <v>539.79</v>
      </c>
      <c r="L152">
        <v>131.22999999999999</v>
      </c>
      <c r="M152">
        <v>393.68999999999994</v>
      </c>
      <c r="N152">
        <v>22</v>
      </c>
      <c r="O152" t="s">
        <v>26</v>
      </c>
      <c r="P152" t="s">
        <v>32</v>
      </c>
    </row>
    <row r="153" spans="1:16">
      <c r="A153">
        <v>100314</v>
      </c>
      <c r="B153" s="4">
        <v>45807</v>
      </c>
      <c r="C153" t="s">
        <v>204</v>
      </c>
      <c r="D153" t="s">
        <v>73</v>
      </c>
      <c r="E153" t="s">
        <v>25</v>
      </c>
      <c r="F153" t="s">
        <v>1241</v>
      </c>
      <c r="G153" t="s">
        <v>31</v>
      </c>
      <c r="H153">
        <v>1</v>
      </c>
      <c r="I153">
        <v>36.619999999999997</v>
      </c>
      <c r="J153">
        <v>10</v>
      </c>
      <c r="K153">
        <v>32.96</v>
      </c>
      <c r="L153">
        <v>10.42</v>
      </c>
      <c r="M153">
        <v>10.42</v>
      </c>
      <c r="N153">
        <v>23</v>
      </c>
      <c r="O153" t="s">
        <v>19</v>
      </c>
      <c r="P153" t="s">
        <v>32</v>
      </c>
    </row>
    <row r="154" spans="1:16">
      <c r="A154">
        <v>100262</v>
      </c>
      <c r="B154" s="4">
        <v>44943</v>
      </c>
      <c r="C154" t="s">
        <v>1035</v>
      </c>
      <c r="D154" t="s">
        <v>73</v>
      </c>
      <c r="E154" t="s">
        <v>25</v>
      </c>
      <c r="F154" t="s">
        <v>1237</v>
      </c>
      <c r="G154" t="s">
        <v>31</v>
      </c>
      <c r="H154">
        <v>5</v>
      </c>
      <c r="I154">
        <v>41.04</v>
      </c>
      <c r="J154">
        <v>0</v>
      </c>
      <c r="K154">
        <v>205.2</v>
      </c>
      <c r="L154">
        <v>55.35</v>
      </c>
      <c r="M154">
        <v>276.75</v>
      </c>
      <c r="N154">
        <v>20</v>
      </c>
      <c r="O154" t="s">
        <v>26</v>
      </c>
      <c r="P154" t="s">
        <v>27</v>
      </c>
    </row>
    <row r="155" spans="1:16">
      <c r="A155">
        <v>101030</v>
      </c>
      <c r="B155" s="4">
        <v>45061</v>
      </c>
      <c r="C155" t="s">
        <v>1033</v>
      </c>
      <c r="D155" t="s">
        <v>87</v>
      </c>
      <c r="E155" t="s">
        <v>25</v>
      </c>
      <c r="F155" t="s">
        <v>1237</v>
      </c>
      <c r="G155" t="s">
        <v>18</v>
      </c>
      <c r="H155">
        <v>5</v>
      </c>
      <c r="I155">
        <v>86.12</v>
      </c>
      <c r="J155">
        <v>0</v>
      </c>
      <c r="K155">
        <v>430.6</v>
      </c>
      <c r="L155">
        <v>99.43</v>
      </c>
      <c r="M155">
        <v>497.15000000000003</v>
      </c>
      <c r="N155">
        <v>20</v>
      </c>
      <c r="O155" t="s">
        <v>26</v>
      </c>
      <c r="P155" t="s">
        <v>81</v>
      </c>
    </row>
    <row r="156" spans="1:16">
      <c r="A156">
        <v>100933</v>
      </c>
      <c r="B156" s="4">
        <v>45379</v>
      </c>
      <c r="C156" t="s">
        <v>207</v>
      </c>
      <c r="D156" t="s">
        <v>70</v>
      </c>
      <c r="E156" t="s">
        <v>25</v>
      </c>
      <c r="F156" t="s">
        <v>1237</v>
      </c>
      <c r="G156" t="s">
        <v>31</v>
      </c>
      <c r="H156">
        <v>4</v>
      </c>
      <c r="I156">
        <v>160.63999999999999</v>
      </c>
      <c r="J156">
        <v>0</v>
      </c>
      <c r="K156">
        <v>642.55999999999995</v>
      </c>
      <c r="L156">
        <v>185.67</v>
      </c>
      <c r="M156">
        <v>742.68</v>
      </c>
      <c r="N156">
        <v>30</v>
      </c>
      <c r="O156" t="s">
        <v>19</v>
      </c>
      <c r="P156" t="s">
        <v>27</v>
      </c>
    </row>
    <row r="157" spans="1:16">
      <c r="A157">
        <v>100433</v>
      </c>
      <c r="B157" s="4">
        <v>45355</v>
      </c>
      <c r="C157" t="s">
        <v>208</v>
      </c>
      <c r="D157" t="s">
        <v>100</v>
      </c>
      <c r="E157" t="s">
        <v>25</v>
      </c>
      <c r="F157" t="s">
        <v>1237</v>
      </c>
      <c r="G157" t="s">
        <v>18</v>
      </c>
      <c r="H157">
        <v>2</v>
      </c>
      <c r="I157">
        <v>144.58000000000001</v>
      </c>
      <c r="J157">
        <v>0</v>
      </c>
      <c r="K157">
        <v>289.16000000000003</v>
      </c>
      <c r="L157">
        <v>96.15</v>
      </c>
      <c r="M157">
        <v>192.3</v>
      </c>
      <c r="N157">
        <v>17</v>
      </c>
      <c r="O157" t="s">
        <v>19</v>
      </c>
      <c r="P157" t="s">
        <v>20</v>
      </c>
    </row>
    <row r="158" spans="1:16">
      <c r="A158">
        <v>101144</v>
      </c>
      <c r="B158" s="4">
        <v>45874</v>
      </c>
      <c r="C158" t="s">
        <v>1032</v>
      </c>
      <c r="D158" t="s">
        <v>68</v>
      </c>
      <c r="E158" t="s">
        <v>25</v>
      </c>
      <c r="F158" t="s">
        <v>1241</v>
      </c>
      <c r="G158" t="s">
        <v>18</v>
      </c>
      <c r="H158">
        <v>3</v>
      </c>
      <c r="I158">
        <v>228.98</v>
      </c>
      <c r="J158">
        <v>0</v>
      </c>
      <c r="K158">
        <v>686.94</v>
      </c>
      <c r="L158">
        <v>181.13</v>
      </c>
      <c r="M158">
        <v>543.39</v>
      </c>
      <c r="N158">
        <v>34</v>
      </c>
      <c r="O158" t="s">
        <v>26</v>
      </c>
      <c r="P158" t="s">
        <v>32</v>
      </c>
    </row>
    <row r="159" spans="1:16">
      <c r="A159">
        <v>100623</v>
      </c>
      <c r="B159" s="4">
        <v>45074</v>
      </c>
      <c r="C159" t="s">
        <v>1031</v>
      </c>
      <c r="D159" t="s">
        <v>100</v>
      </c>
      <c r="E159" t="s">
        <v>25</v>
      </c>
      <c r="F159" t="s">
        <v>1238</v>
      </c>
      <c r="G159" t="s">
        <v>18</v>
      </c>
      <c r="H159">
        <v>3</v>
      </c>
      <c r="I159">
        <v>144.21</v>
      </c>
      <c r="J159">
        <v>40</v>
      </c>
      <c r="K159">
        <v>259.58</v>
      </c>
      <c r="L159">
        <v>84.4</v>
      </c>
      <c r="M159">
        <v>253.20000000000002</v>
      </c>
      <c r="N159">
        <v>44</v>
      </c>
      <c r="O159" t="s">
        <v>19</v>
      </c>
      <c r="P159" t="s">
        <v>43</v>
      </c>
    </row>
    <row r="160" spans="1:16">
      <c r="A160">
        <v>100880</v>
      </c>
      <c r="B160" s="4">
        <v>45907</v>
      </c>
      <c r="C160" t="s">
        <v>1029</v>
      </c>
      <c r="D160" t="s">
        <v>24</v>
      </c>
      <c r="E160" t="s">
        <v>25</v>
      </c>
      <c r="F160" t="s">
        <v>1241</v>
      </c>
      <c r="G160" t="s">
        <v>18</v>
      </c>
      <c r="H160">
        <v>5</v>
      </c>
      <c r="I160">
        <v>99.39</v>
      </c>
      <c r="J160">
        <v>0</v>
      </c>
      <c r="K160">
        <v>496.95</v>
      </c>
      <c r="L160">
        <v>145.88999999999999</v>
      </c>
      <c r="M160">
        <v>729.44999999999993</v>
      </c>
      <c r="N160">
        <v>33</v>
      </c>
      <c r="O160" t="s">
        <v>26</v>
      </c>
      <c r="P160" t="s">
        <v>27</v>
      </c>
    </row>
    <row r="161" spans="1:16">
      <c r="A161">
        <v>100303</v>
      </c>
      <c r="B161" s="4">
        <v>45389</v>
      </c>
      <c r="C161" t="s">
        <v>1026</v>
      </c>
      <c r="D161" t="s">
        <v>24</v>
      </c>
      <c r="E161" t="s">
        <v>25</v>
      </c>
      <c r="F161" t="s">
        <v>1239</v>
      </c>
      <c r="G161" t="s">
        <v>18</v>
      </c>
      <c r="H161">
        <v>4</v>
      </c>
      <c r="I161">
        <v>110.28</v>
      </c>
      <c r="J161">
        <v>0</v>
      </c>
      <c r="K161">
        <v>441.12</v>
      </c>
      <c r="L161">
        <v>163.15</v>
      </c>
      <c r="M161">
        <v>652.6</v>
      </c>
      <c r="N161">
        <v>30</v>
      </c>
      <c r="O161" t="s">
        <v>26</v>
      </c>
      <c r="P161" t="s">
        <v>20</v>
      </c>
    </row>
    <row r="162" spans="1:16">
      <c r="A162">
        <v>100036</v>
      </c>
      <c r="B162" s="4">
        <v>45004</v>
      </c>
      <c r="C162" t="s">
        <v>1022</v>
      </c>
      <c r="D162" t="s">
        <v>68</v>
      </c>
      <c r="E162" t="s">
        <v>25</v>
      </c>
      <c r="F162" t="s">
        <v>1239</v>
      </c>
      <c r="G162" t="s">
        <v>31</v>
      </c>
      <c r="H162">
        <v>4</v>
      </c>
      <c r="I162">
        <v>223.77</v>
      </c>
      <c r="J162">
        <v>0</v>
      </c>
      <c r="K162">
        <v>895.08</v>
      </c>
      <c r="L162">
        <v>212.77</v>
      </c>
      <c r="M162">
        <v>851.08</v>
      </c>
      <c r="N162">
        <v>30</v>
      </c>
      <c r="O162" t="s">
        <v>26</v>
      </c>
      <c r="P162" t="s">
        <v>35</v>
      </c>
    </row>
    <row r="163" spans="1:16">
      <c r="A163">
        <v>100008</v>
      </c>
      <c r="B163" s="4">
        <v>45768</v>
      </c>
      <c r="C163" t="s">
        <v>1020</v>
      </c>
      <c r="D163" t="s">
        <v>70</v>
      </c>
      <c r="E163" t="s">
        <v>25</v>
      </c>
      <c r="F163" t="s">
        <v>1238</v>
      </c>
      <c r="G163" t="s">
        <v>18</v>
      </c>
      <c r="H163">
        <v>2</v>
      </c>
      <c r="I163">
        <v>152.62</v>
      </c>
      <c r="J163">
        <v>0</v>
      </c>
      <c r="K163">
        <v>305.24</v>
      </c>
      <c r="L163">
        <v>105.03</v>
      </c>
      <c r="M163">
        <v>210.06</v>
      </c>
      <c r="N163">
        <v>21</v>
      </c>
      <c r="O163" t="s">
        <v>19</v>
      </c>
      <c r="P163" t="s">
        <v>43</v>
      </c>
    </row>
    <row r="164" spans="1:16">
      <c r="A164">
        <v>101024</v>
      </c>
      <c r="B164" s="4">
        <v>45289</v>
      </c>
      <c r="C164" t="s">
        <v>215</v>
      </c>
      <c r="D164" t="s">
        <v>87</v>
      </c>
      <c r="E164" t="s">
        <v>25</v>
      </c>
      <c r="F164" t="s">
        <v>1239</v>
      </c>
      <c r="G164" t="s">
        <v>18</v>
      </c>
      <c r="H164">
        <v>2</v>
      </c>
      <c r="I164">
        <v>87</v>
      </c>
      <c r="J164">
        <v>10</v>
      </c>
      <c r="K164">
        <v>156.6</v>
      </c>
      <c r="L164">
        <v>48.93</v>
      </c>
      <c r="M164">
        <v>97.86</v>
      </c>
      <c r="N164">
        <v>42</v>
      </c>
      <c r="O164" t="s">
        <v>26</v>
      </c>
      <c r="P164" t="s">
        <v>27</v>
      </c>
    </row>
    <row r="165" spans="1:16">
      <c r="A165">
        <v>100232</v>
      </c>
      <c r="B165" s="4">
        <v>45755</v>
      </c>
      <c r="C165" t="s">
        <v>1019</v>
      </c>
      <c r="D165" t="s">
        <v>70</v>
      </c>
      <c r="E165" t="s">
        <v>25</v>
      </c>
      <c r="F165" t="s">
        <v>1238</v>
      </c>
      <c r="G165" t="s">
        <v>31</v>
      </c>
      <c r="H165">
        <v>1</v>
      </c>
      <c r="I165">
        <v>147.78</v>
      </c>
      <c r="J165">
        <v>5</v>
      </c>
      <c r="K165">
        <v>140.38999999999999</v>
      </c>
      <c r="L165">
        <v>41.21</v>
      </c>
      <c r="M165">
        <v>41.21</v>
      </c>
      <c r="N165">
        <v>39</v>
      </c>
      <c r="O165" t="s">
        <v>26</v>
      </c>
      <c r="P165" t="s">
        <v>46</v>
      </c>
    </row>
    <row r="166" spans="1:16">
      <c r="A166">
        <v>100151</v>
      </c>
      <c r="B166" s="4">
        <v>45440</v>
      </c>
      <c r="C166" t="s">
        <v>1013</v>
      </c>
      <c r="D166" t="s">
        <v>68</v>
      </c>
      <c r="E166" t="s">
        <v>25</v>
      </c>
      <c r="F166" t="s">
        <v>1238</v>
      </c>
      <c r="G166" t="s">
        <v>48</v>
      </c>
      <c r="H166">
        <v>1</v>
      </c>
      <c r="I166">
        <v>228.82</v>
      </c>
      <c r="J166">
        <v>0</v>
      </c>
      <c r="K166">
        <v>228.82</v>
      </c>
      <c r="L166">
        <v>71.19</v>
      </c>
      <c r="M166">
        <v>71.19</v>
      </c>
      <c r="N166">
        <v>26</v>
      </c>
      <c r="O166" t="s">
        <v>19</v>
      </c>
      <c r="P166" t="s">
        <v>27</v>
      </c>
    </row>
    <row r="167" spans="1:16">
      <c r="A167">
        <v>100586</v>
      </c>
      <c r="B167" s="4">
        <v>45460</v>
      </c>
      <c r="C167" t="s">
        <v>1007</v>
      </c>
      <c r="D167" t="s">
        <v>87</v>
      </c>
      <c r="E167" t="s">
        <v>25</v>
      </c>
      <c r="F167" t="s">
        <v>1237</v>
      </c>
      <c r="G167" t="s">
        <v>18</v>
      </c>
      <c r="H167">
        <v>3</v>
      </c>
      <c r="I167">
        <v>85.28</v>
      </c>
      <c r="J167">
        <v>5</v>
      </c>
      <c r="K167">
        <v>243.05</v>
      </c>
      <c r="L167">
        <v>78.3</v>
      </c>
      <c r="M167">
        <v>234.89999999999998</v>
      </c>
      <c r="N167">
        <v>28</v>
      </c>
      <c r="O167" t="s">
        <v>122</v>
      </c>
      <c r="P167" t="s">
        <v>32</v>
      </c>
    </row>
    <row r="168" spans="1:16">
      <c r="A168">
        <v>100624</v>
      </c>
      <c r="B168" s="4">
        <v>45426</v>
      </c>
      <c r="C168" t="s">
        <v>1006</v>
      </c>
      <c r="D168" t="s">
        <v>39</v>
      </c>
      <c r="E168" t="s">
        <v>25</v>
      </c>
      <c r="F168" t="s">
        <v>1241</v>
      </c>
      <c r="G168" t="s">
        <v>31</v>
      </c>
      <c r="H168">
        <v>1</v>
      </c>
      <c r="I168">
        <v>190.17</v>
      </c>
      <c r="J168">
        <v>10</v>
      </c>
      <c r="K168">
        <v>171.15</v>
      </c>
      <c r="L168">
        <v>49.27</v>
      </c>
      <c r="M168">
        <v>49.27</v>
      </c>
      <c r="N168">
        <v>27</v>
      </c>
      <c r="O168" t="s">
        <v>19</v>
      </c>
      <c r="P168" t="s">
        <v>20</v>
      </c>
    </row>
    <row r="169" spans="1:16">
      <c r="A169">
        <v>100887</v>
      </c>
      <c r="B169" s="4">
        <v>45528</v>
      </c>
      <c r="C169" t="s">
        <v>220</v>
      </c>
      <c r="D169" t="s">
        <v>73</v>
      </c>
      <c r="E169" t="s">
        <v>25</v>
      </c>
      <c r="F169" t="s">
        <v>1241</v>
      </c>
      <c r="G169" t="s">
        <v>31</v>
      </c>
      <c r="H169">
        <v>2</v>
      </c>
      <c r="I169">
        <v>31.96</v>
      </c>
      <c r="J169">
        <v>10</v>
      </c>
      <c r="K169">
        <v>57.53</v>
      </c>
      <c r="L169">
        <v>20.43</v>
      </c>
      <c r="M169">
        <v>40.86</v>
      </c>
      <c r="N169">
        <v>27</v>
      </c>
      <c r="O169" t="s">
        <v>19</v>
      </c>
      <c r="P169" t="s">
        <v>51</v>
      </c>
    </row>
    <row r="170" spans="1:16">
      <c r="A170">
        <v>100818</v>
      </c>
      <c r="B170" s="4">
        <v>45467</v>
      </c>
      <c r="C170" t="s">
        <v>221</v>
      </c>
      <c r="D170" t="s">
        <v>39</v>
      </c>
      <c r="E170" t="s">
        <v>25</v>
      </c>
      <c r="F170" t="s">
        <v>1238</v>
      </c>
      <c r="G170" t="s">
        <v>18</v>
      </c>
      <c r="H170">
        <v>3</v>
      </c>
      <c r="I170">
        <v>164.27</v>
      </c>
      <c r="J170">
        <v>5</v>
      </c>
      <c r="K170">
        <v>468.17</v>
      </c>
      <c r="L170">
        <v>143.62</v>
      </c>
      <c r="M170">
        <v>430.86</v>
      </c>
      <c r="N170">
        <v>30</v>
      </c>
      <c r="O170" t="s">
        <v>19</v>
      </c>
      <c r="P170" t="s">
        <v>32</v>
      </c>
    </row>
    <row r="171" spans="1:16">
      <c r="A171">
        <v>100985</v>
      </c>
      <c r="B171" s="4">
        <v>45077</v>
      </c>
      <c r="C171" t="s">
        <v>1001</v>
      </c>
      <c r="D171" t="s">
        <v>100</v>
      </c>
      <c r="E171" t="s">
        <v>25</v>
      </c>
      <c r="F171" t="s">
        <v>1237</v>
      </c>
      <c r="G171" t="s">
        <v>48</v>
      </c>
      <c r="H171">
        <v>5</v>
      </c>
      <c r="I171">
        <v>121.9</v>
      </c>
      <c r="J171">
        <v>5</v>
      </c>
      <c r="K171">
        <v>579.02</v>
      </c>
      <c r="L171">
        <v>163.19999999999999</v>
      </c>
      <c r="M171">
        <v>816</v>
      </c>
      <c r="N171">
        <v>23</v>
      </c>
      <c r="O171" t="s">
        <v>19</v>
      </c>
      <c r="P171" t="s">
        <v>81</v>
      </c>
    </row>
    <row r="172" spans="1:16">
      <c r="A172">
        <v>100111</v>
      </c>
      <c r="B172" s="4">
        <v>45132</v>
      </c>
      <c r="C172" t="s">
        <v>999</v>
      </c>
      <c r="D172" t="s">
        <v>68</v>
      </c>
      <c r="E172" t="s">
        <v>25</v>
      </c>
      <c r="F172" t="s">
        <v>1239</v>
      </c>
      <c r="G172" t="s">
        <v>18</v>
      </c>
      <c r="H172">
        <v>3</v>
      </c>
      <c r="I172">
        <v>249.51</v>
      </c>
      <c r="J172">
        <v>0</v>
      </c>
      <c r="K172">
        <v>748.53</v>
      </c>
      <c r="L172">
        <v>257.95999999999998</v>
      </c>
      <c r="M172">
        <v>773.87999999999988</v>
      </c>
      <c r="N172">
        <v>30</v>
      </c>
      <c r="O172" t="s">
        <v>26</v>
      </c>
      <c r="P172" t="s">
        <v>20</v>
      </c>
    </row>
    <row r="173" spans="1:16">
      <c r="A173">
        <v>100978</v>
      </c>
      <c r="B173" s="4">
        <v>45659</v>
      </c>
      <c r="C173" t="s">
        <v>996</v>
      </c>
      <c r="D173" t="s">
        <v>39</v>
      </c>
      <c r="E173" t="s">
        <v>25</v>
      </c>
      <c r="F173" t="s">
        <v>1239</v>
      </c>
      <c r="G173" t="s">
        <v>48</v>
      </c>
      <c r="H173">
        <v>4</v>
      </c>
      <c r="I173">
        <v>176.76</v>
      </c>
      <c r="J173">
        <v>20</v>
      </c>
      <c r="K173">
        <v>565.63</v>
      </c>
      <c r="L173">
        <v>143.41999999999999</v>
      </c>
      <c r="M173">
        <v>573.67999999999995</v>
      </c>
      <c r="N173">
        <v>34</v>
      </c>
      <c r="O173" t="s">
        <v>19</v>
      </c>
      <c r="P173" t="s">
        <v>51</v>
      </c>
    </row>
    <row r="174" spans="1:16">
      <c r="A174">
        <v>101198</v>
      </c>
      <c r="B174" s="4">
        <v>45571</v>
      </c>
      <c r="C174" t="s">
        <v>994</v>
      </c>
      <c r="D174" t="s">
        <v>87</v>
      </c>
      <c r="E174" t="s">
        <v>25</v>
      </c>
      <c r="F174" t="s">
        <v>1237</v>
      </c>
      <c r="G174" t="s">
        <v>48</v>
      </c>
      <c r="H174">
        <v>3</v>
      </c>
      <c r="I174">
        <v>93.55</v>
      </c>
      <c r="J174">
        <v>20</v>
      </c>
      <c r="K174">
        <v>224.52</v>
      </c>
      <c r="L174">
        <v>71.14</v>
      </c>
      <c r="M174">
        <v>213.42000000000002</v>
      </c>
      <c r="N174">
        <v>33</v>
      </c>
      <c r="O174" t="s">
        <v>26</v>
      </c>
      <c r="P174" t="s">
        <v>32</v>
      </c>
    </row>
    <row r="175" spans="1:16">
      <c r="A175">
        <v>100913</v>
      </c>
      <c r="B175" s="4">
        <v>45737</v>
      </c>
      <c r="C175" t="s">
        <v>993</v>
      </c>
      <c r="D175" t="s">
        <v>24</v>
      </c>
      <c r="E175" t="s">
        <v>25</v>
      </c>
      <c r="F175" t="s">
        <v>1241</v>
      </c>
      <c r="G175" t="s">
        <v>31</v>
      </c>
      <c r="H175">
        <v>2</v>
      </c>
      <c r="I175">
        <v>99.67</v>
      </c>
      <c r="J175">
        <v>5</v>
      </c>
      <c r="K175">
        <v>189.37</v>
      </c>
      <c r="L175">
        <v>61.03</v>
      </c>
      <c r="M175">
        <v>122.06</v>
      </c>
      <c r="N175">
        <v>23</v>
      </c>
      <c r="O175" t="s">
        <v>19</v>
      </c>
      <c r="P175" t="s">
        <v>51</v>
      </c>
    </row>
    <row r="176" spans="1:16">
      <c r="A176">
        <v>100895</v>
      </c>
      <c r="B176" s="4">
        <v>45115</v>
      </c>
      <c r="C176" t="s">
        <v>992</v>
      </c>
      <c r="D176" t="s">
        <v>39</v>
      </c>
      <c r="E176" t="s">
        <v>25</v>
      </c>
      <c r="F176" t="s">
        <v>1241</v>
      </c>
      <c r="G176" t="s">
        <v>18</v>
      </c>
      <c r="H176">
        <v>3</v>
      </c>
      <c r="I176">
        <v>175.6</v>
      </c>
      <c r="J176">
        <v>5</v>
      </c>
      <c r="K176">
        <v>500.46</v>
      </c>
      <c r="L176">
        <v>131.79</v>
      </c>
      <c r="M176">
        <v>395.37</v>
      </c>
      <c r="N176">
        <v>27</v>
      </c>
      <c r="O176" t="s">
        <v>26</v>
      </c>
      <c r="P176" t="s">
        <v>20</v>
      </c>
    </row>
    <row r="177" spans="1:16">
      <c r="A177">
        <v>100560</v>
      </c>
      <c r="B177" s="4">
        <v>45463</v>
      </c>
      <c r="C177" t="s">
        <v>228</v>
      </c>
      <c r="D177" t="s">
        <v>70</v>
      </c>
      <c r="E177" t="s">
        <v>25</v>
      </c>
      <c r="F177" t="s">
        <v>1237</v>
      </c>
      <c r="G177" t="s">
        <v>18</v>
      </c>
      <c r="H177">
        <v>5</v>
      </c>
      <c r="I177">
        <v>154.01</v>
      </c>
      <c r="J177">
        <v>5</v>
      </c>
      <c r="K177">
        <v>731.55</v>
      </c>
      <c r="L177">
        <v>213.79</v>
      </c>
      <c r="M177">
        <v>1068.95</v>
      </c>
      <c r="N177">
        <v>26</v>
      </c>
      <c r="O177" t="s">
        <v>19</v>
      </c>
      <c r="P177" t="s">
        <v>35</v>
      </c>
    </row>
    <row r="178" spans="1:16">
      <c r="A178">
        <v>100680</v>
      </c>
      <c r="B178" s="4">
        <v>45090</v>
      </c>
      <c r="C178" t="s">
        <v>985</v>
      </c>
      <c r="D178" t="s">
        <v>70</v>
      </c>
      <c r="E178" t="s">
        <v>25</v>
      </c>
      <c r="F178" t="s">
        <v>1238</v>
      </c>
      <c r="G178" t="s">
        <v>18</v>
      </c>
      <c r="H178">
        <v>6</v>
      </c>
      <c r="I178">
        <v>140.27000000000001</v>
      </c>
      <c r="J178">
        <v>10</v>
      </c>
      <c r="K178">
        <v>757.46</v>
      </c>
      <c r="L178">
        <v>185.05</v>
      </c>
      <c r="M178">
        <v>1110.3000000000002</v>
      </c>
      <c r="N178">
        <v>33</v>
      </c>
      <c r="O178" t="s">
        <v>26</v>
      </c>
      <c r="P178" t="s">
        <v>46</v>
      </c>
    </row>
    <row r="179" spans="1:16">
      <c r="A179">
        <v>100800</v>
      </c>
      <c r="B179" s="4">
        <v>45188</v>
      </c>
      <c r="C179" t="s">
        <v>982</v>
      </c>
      <c r="D179" t="s">
        <v>42</v>
      </c>
      <c r="E179" t="s">
        <v>25</v>
      </c>
      <c r="F179" t="s">
        <v>1237</v>
      </c>
      <c r="G179" t="s">
        <v>18</v>
      </c>
      <c r="H179">
        <v>3</v>
      </c>
      <c r="I179">
        <v>142.61000000000001</v>
      </c>
      <c r="J179">
        <v>20</v>
      </c>
      <c r="K179">
        <v>342.26</v>
      </c>
      <c r="L179">
        <v>84.2</v>
      </c>
      <c r="M179">
        <v>252.60000000000002</v>
      </c>
      <c r="N179">
        <v>19</v>
      </c>
      <c r="O179" t="s">
        <v>26</v>
      </c>
      <c r="P179" t="s">
        <v>51</v>
      </c>
    </row>
    <row r="180" spans="1:16">
      <c r="A180">
        <v>101087</v>
      </c>
      <c r="B180" s="4">
        <v>45832</v>
      </c>
      <c r="C180" t="s">
        <v>981</v>
      </c>
      <c r="D180" t="s">
        <v>73</v>
      </c>
      <c r="E180" t="s">
        <v>25</v>
      </c>
      <c r="F180" t="s">
        <v>1237</v>
      </c>
      <c r="G180" t="s">
        <v>31</v>
      </c>
      <c r="H180">
        <v>4</v>
      </c>
      <c r="I180">
        <v>28.91</v>
      </c>
      <c r="J180">
        <v>0</v>
      </c>
      <c r="K180">
        <v>115.64</v>
      </c>
      <c r="L180">
        <v>27.23</v>
      </c>
      <c r="M180">
        <v>108.92</v>
      </c>
      <c r="N180">
        <v>32</v>
      </c>
      <c r="O180" t="s">
        <v>26</v>
      </c>
      <c r="P180" t="s">
        <v>43</v>
      </c>
    </row>
    <row r="181" spans="1:16">
      <c r="A181">
        <v>101182</v>
      </c>
      <c r="B181" s="4">
        <v>45155</v>
      </c>
      <c r="C181" t="s">
        <v>980</v>
      </c>
      <c r="D181" t="s">
        <v>68</v>
      </c>
      <c r="E181" t="s">
        <v>25</v>
      </c>
      <c r="F181" t="s">
        <v>1238</v>
      </c>
      <c r="G181" t="s">
        <v>64</v>
      </c>
      <c r="H181">
        <v>1</v>
      </c>
      <c r="I181">
        <v>235.5</v>
      </c>
      <c r="J181">
        <v>5</v>
      </c>
      <c r="K181">
        <v>223.72</v>
      </c>
      <c r="L181">
        <v>66.040000000000006</v>
      </c>
      <c r="M181">
        <v>66.040000000000006</v>
      </c>
      <c r="N181">
        <v>37</v>
      </c>
      <c r="O181" t="s">
        <v>26</v>
      </c>
      <c r="P181" t="s">
        <v>46</v>
      </c>
    </row>
    <row r="182" spans="1:16">
      <c r="A182">
        <v>100724</v>
      </c>
      <c r="B182" s="4">
        <v>45453</v>
      </c>
      <c r="C182" t="s">
        <v>233</v>
      </c>
      <c r="D182" t="s">
        <v>73</v>
      </c>
      <c r="E182" t="s">
        <v>25</v>
      </c>
      <c r="F182" t="s">
        <v>1241</v>
      </c>
      <c r="G182" t="s">
        <v>18</v>
      </c>
      <c r="H182">
        <v>2</v>
      </c>
      <c r="I182">
        <v>35.39</v>
      </c>
      <c r="J182">
        <v>0</v>
      </c>
      <c r="K182">
        <v>70.78</v>
      </c>
      <c r="L182">
        <v>24.76</v>
      </c>
      <c r="M182">
        <v>49.52</v>
      </c>
      <c r="N182">
        <v>21</v>
      </c>
      <c r="O182" t="s">
        <v>19</v>
      </c>
      <c r="P182" t="s">
        <v>43</v>
      </c>
    </row>
    <row r="183" spans="1:16">
      <c r="A183">
        <v>100826</v>
      </c>
      <c r="B183" s="4">
        <v>45650</v>
      </c>
      <c r="C183" t="s">
        <v>234</v>
      </c>
      <c r="D183" t="s">
        <v>70</v>
      </c>
      <c r="E183" t="s">
        <v>25</v>
      </c>
      <c r="F183" t="s">
        <v>1238</v>
      </c>
      <c r="G183" t="s">
        <v>31</v>
      </c>
      <c r="H183">
        <v>4</v>
      </c>
      <c r="I183">
        <v>148.62</v>
      </c>
      <c r="J183">
        <v>0</v>
      </c>
      <c r="K183">
        <v>594.48</v>
      </c>
      <c r="L183">
        <v>166.9</v>
      </c>
      <c r="M183">
        <v>667.6</v>
      </c>
      <c r="N183">
        <v>21</v>
      </c>
      <c r="O183" t="s">
        <v>19</v>
      </c>
      <c r="P183" t="s">
        <v>27</v>
      </c>
    </row>
    <row r="184" spans="1:16">
      <c r="A184">
        <v>100976</v>
      </c>
      <c r="B184" s="4">
        <v>45742</v>
      </c>
      <c r="C184" t="s">
        <v>979</v>
      </c>
      <c r="D184" t="s">
        <v>24</v>
      </c>
      <c r="E184" t="s">
        <v>25</v>
      </c>
      <c r="F184" t="s">
        <v>1237</v>
      </c>
      <c r="G184" t="s">
        <v>31</v>
      </c>
      <c r="H184">
        <v>4</v>
      </c>
      <c r="I184">
        <v>93.67</v>
      </c>
      <c r="J184">
        <v>5</v>
      </c>
      <c r="K184">
        <v>355.95</v>
      </c>
      <c r="L184">
        <v>113.89</v>
      </c>
      <c r="M184">
        <v>455.56</v>
      </c>
      <c r="N184">
        <v>32</v>
      </c>
      <c r="O184" t="s">
        <v>19</v>
      </c>
      <c r="P184" t="s">
        <v>35</v>
      </c>
    </row>
    <row r="185" spans="1:16">
      <c r="A185">
        <v>101039</v>
      </c>
      <c r="B185" s="4">
        <v>45041</v>
      </c>
      <c r="C185" t="s">
        <v>236</v>
      </c>
      <c r="D185" t="s">
        <v>87</v>
      </c>
      <c r="E185" t="s">
        <v>25</v>
      </c>
      <c r="F185" t="s">
        <v>1237</v>
      </c>
      <c r="G185" t="s">
        <v>31</v>
      </c>
      <c r="H185">
        <v>4</v>
      </c>
      <c r="I185">
        <v>88.19</v>
      </c>
      <c r="J185">
        <v>0</v>
      </c>
      <c r="K185">
        <v>352.76</v>
      </c>
      <c r="L185">
        <v>102.78</v>
      </c>
      <c r="M185">
        <v>411.12</v>
      </c>
      <c r="N185">
        <v>35</v>
      </c>
      <c r="O185" t="s">
        <v>26</v>
      </c>
      <c r="P185" t="s">
        <v>43</v>
      </c>
    </row>
    <row r="186" spans="1:16">
      <c r="A186">
        <v>101063</v>
      </c>
      <c r="B186" s="4">
        <v>45872</v>
      </c>
      <c r="C186" t="s">
        <v>976</v>
      </c>
      <c r="D186" t="s">
        <v>24</v>
      </c>
      <c r="E186" t="s">
        <v>25</v>
      </c>
      <c r="F186" t="s">
        <v>1237</v>
      </c>
      <c r="G186" t="s">
        <v>18</v>
      </c>
      <c r="H186">
        <v>3</v>
      </c>
      <c r="I186">
        <v>95.36</v>
      </c>
      <c r="J186">
        <v>0</v>
      </c>
      <c r="K186">
        <v>286.08</v>
      </c>
      <c r="L186">
        <v>61.27</v>
      </c>
      <c r="M186">
        <v>183.81</v>
      </c>
      <c r="N186">
        <v>19</v>
      </c>
      <c r="O186" t="s">
        <v>26</v>
      </c>
      <c r="P186" t="s">
        <v>35</v>
      </c>
    </row>
    <row r="187" spans="1:16">
      <c r="A187">
        <v>100997</v>
      </c>
      <c r="B187" s="4">
        <v>45207</v>
      </c>
      <c r="C187" t="s">
        <v>238</v>
      </c>
      <c r="D187" t="s">
        <v>87</v>
      </c>
      <c r="E187" t="s">
        <v>25</v>
      </c>
      <c r="F187" t="s">
        <v>1241</v>
      </c>
      <c r="G187" t="s">
        <v>31</v>
      </c>
      <c r="H187">
        <v>2</v>
      </c>
      <c r="I187">
        <v>73.12</v>
      </c>
      <c r="J187">
        <v>0</v>
      </c>
      <c r="K187">
        <v>146.24</v>
      </c>
      <c r="L187">
        <v>45.75</v>
      </c>
      <c r="M187">
        <v>91.5</v>
      </c>
      <c r="N187">
        <v>39</v>
      </c>
      <c r="O187" t="s">
        <v>19</v>
      </c>
      <c r="P187" t="s">
        <v>32</v>
      </c>
    </row>
    <row r="188" spans="1:16">
      <c r="A188">
        <v>101105</v>
      </c>
      <c r="B188" s="4">
        <v>45388</v>
      </c>
      <c r="C188" t="s">
        <v>974</v>
      </c>
      <c r="D188" t="s">
        <v>68</v>
      </c>
      <c r="E188" t="s">
        <v>25</v>
      </c>
      <c r="F188" t="s">
        <v>1237</v>
      </c>
      <c r="G188" t="s">
        <v>31</v>
      </c>
      <c r="H188">
        <v>4</v>
      </c>
      <c r="I188">
        <v>193.24</v>
      </c>
      <c r="J188">
        <v>0</v>
      </c>
      <c r="K188">
        <v>772.96</v>
      </c>
      <c r="L188">
        <v>233.34</v>
      </c>
      <c r="M188">
        <v>933.36</v>
      </c>
      <c r="N188">
        <v>38</v>
      </c>
      <c r="O188" t="s">
        <v>26</v>
      </c>
      <c r="P188" t="s">
        <v>51</v>
      </c>
    </row>
    <row r="189" spans="1:16">
      <c r="A189">
        <v>100194</v>
      </c>
      <c r="B189" s="4">
        <v>45010</v>
      </c>
      <c r="C189" t="s">
        <v>973</v>
      </c>
      <c r="D189" t="s">
        <v>70</v>
      </c>
      <c r="E189" t="s">
        <v>25</v>
      </c>
      <c r="F189" t="s">
        <v>1237</v>
      </c>
      <c r="G189" t="s">
        <v>18</v>
      </c>
      <c r="H189">
        <v>5</v>
      </c>
      <c r="I189">
        <v>137.62</v>
      </c>
      <c r="J189">
        <v>0</v>
      </c>
      <c r="K189">
        <v>688.1</v>
      </c>
      <c r="L189">
        <v>188.22</v>
      </c>
      <c r="M189">
        <v>941.1</v>
      </c>
      <c r="N189">
        <v>30</v>
      </c>
      <c r="O189" t="s">
        <v>26</v>
      </c>
      <c r="P189" t="s">
        <v>32</v>
      </c>
    </row>
    <row r="190" spans="1:16">
      <c r="A190">
        <v>100429</v>
      </c>
      <c r="B190" s="4">
        <v>45552</v>
      </c>
      <c r="C190" t="s">
        <v>241</v>
      </c>
      <c r="D190" t="s">
        <v>73</v>
      </c>
      <c r="E190" t="s">
        <v>25</v>
      </c>
      <c r="F190" t="s">
        <v>1240</v>
      </c>
      <c r="G190" t="s">
        <v>18</v>
      </c>
      <c r="H190">
        <v>1</v>
      </c>
      <c r="I190">
        <v>32.9</v>
      </c>
      <c r="J190">
        <v>20</v>
      </c>
      <c r="K190">
        <v>26.32</v>
      </c>
      <c r="L190">
        <v>8.7899999999999991</v>
      </c>
      <c r="M190">
        <v>8.7899999999999991</v>
      </c>
      <c r="N190">
        <v>20</v>
      </c>
      <c r="O190" t="s">
        <v>26</v>
      </c>
      <c r="P190" t="s">
        <v>51</v>
      </c>
    </row>
    <row r="191" spans="1:16">
      <c r="A191">
        <v>100506</v>
      </c>
      <c r="B191" s="4">
        <v>44939</v>
      </c>
      <c r="C191" t="s">
        <v>242</v>
      </c>
      <c r="D191" t="s">
        <v>73</v>
      </c>
      <c r="E191" t="s">
        <v>25</v>
      </c>
      <c r="F191" t="s">
        <v>1241</v>
      </c>
      <c r="G191" t="s">
        <v>18</v>
      </c>
      <c r="H191">
        <v>6</v>
      </c>
      <c r="I191">
        <v>40.630000000000003</v>
      </c>
      <c r="J191">
        <v>5</v>
      </c>
      <c r="K191">
        <v>231.59</v>
      </c>
      <c r="L191">
        <v>81.33</v>
      </c>
      <c r="M191">
        <v>487.98</v>
      </c>
      <c r="N191">
        <v>23</v>
      </c>
      <c r="O191" t="s">
        <v>19</v>
      </c>
      <c r="P191" t="s">
        <v>35</v>
      </c>
    </row>
    <row r="192" spans="1:16">
      <c r="A192">
        <v>100830</v>
      </c>
      <c r="B192" s="4">
        <v>45444</v>
      </c>
      <c r="C192" t="s">
        <v>243</v>
      </c>
      <c r="D192" t="s">
        <v>42</v>
      </c>
      <c r="E192" t="s">
        <v>25</v>
      </c>
      <c r="F192" t="s">
        <v>1238</v>
      </c>
      <c r="G192" t="s">
        <v>31</v>
      </c>
      <c r="H192">
        <v>2</v>
      </c>
      <c r="I192">
        <v>158.38999999999999</v>
      </c>
      <c r="J192">
        <v>10</v>
      </c>
      <c r="K192">
        <v>285.10000000000002</v>
      </c>
      <c r="L192">
        <v>99.32</v>
      </c>
      <c r="M192">
        <v>198.64</v>
      </c>
      <c r="N192">
        <v>37</v>
      </c>
      <c r="O192" t="s">
        <v>26</v>
      </c>
      <c r="P192" t="s">
        <v>51</v>
      </c>
    </row>
    <row r="193" spans="1:16">
      <c r="A193">
        <v>100693</v>
      </c>
      <c r="B193" s="4">
        <v>45717</v>
      </c>
      <c r="C193" t="s">
        <v>244</v>
      </c>
      <c r="D193" t="s">
        <v>68</v>
      </c>
      <c r="E193" t="s">
        <v>25</v>
      </c>
      <c r="F193" t="s">
        <v>1238</v>
      </c>
      <c r="G193" t="s">
        <v>31</v>
      </c>
      <c r="H193">
        <v>2</v>
      </c>
      <c r="I193">
        <v>238.44</v>
      </c>
      <c r="J193">
        <v>0</v>
      </c>
      <c r="K193">
        <v>476.88</v>
      </c>
      <c r="L193">
        <v>148.19</v>
      </c>
      <c r="M193">
        <v>296.38</v>
      </c>
      <c r="N193">
        <v>25</v>
      </c>
      <c r="O193" t="s">
        <v>26</v>
      </c>
      <c r="P193" t="s">
        <v>46</v>
      </c>
    </row>
    <row r="194" spans="1:16">
      <c r="A194">
        <v>100010</v>
      </c>
      <c r="B194" s="4">
        <v>45151</v>
      </c>
      <c r="C194" t="s">
        <v>245</v>
      </c>
      <c r="D194" t="s">
        <v>68</v>
      </c>
      <c r="E194" t="s">
        <v>25</v>
      </c>
      <c r="F194" t="s">
        <v>1241</v>
      </c>
      <c r="G194" t="s">
        <v>18</v>
      </c>
      <c r="H194">
        <v>1</v>
      </c>
      <c r="I194">
        <v>225.7</v>
      </c>
      <c r="J194">
        <v>0</v>
      </c>
      <c r="K194">
        <v>225.7</v>
      </c>
      <c r="L194">
        <v>63.36</v>
      </c>
      <c r="M194">
        <v>63.36</v>
      </c>
      <c r="N194">
        <v>34</v>
      </c>
      <c r="O194" t="s">
        <v>26</v>
      </c>
      <c r="P194" t="s">
        <v>35</v>
      </c>
    </row>
    <row r="195" spans="1:16">
      <c r="A195">
        <v>100687</v>
      </c>
      <c r="B195" s="4">
        <v>45735</v>
      </c>
      <c r="C195" t="s">
        <v>969</v>
      </c>
      <c r="D195" t="s">
        <v>100</v>
      </c>
      <c r="E195" t="s">
        <v>25</v>
      </c>
      <c r="F195" t="s">
        <v>1237</v>
      </c>
      <c r="G195" t="s">
        <v>31</v>
      </c>
      <c r="H195">
        <v>1</v>
      </c>
      <c r="I195">
        <v>138.72999999999999</v>
      </c>
      <c r="J195">
        <v>0</v>
      </c>
      <c r="K195">
        <v>138.72999999999999</v>
      </c>
      <c r="L195">
        <v>44.9</v>
      </c>
      <c r="M195">
        <v>44.9</v>
      </c>
      <c r="N195">
        <v>37</v>
      </c>
      <c r="O195" t="s">
        <v>26</v>
      </c>
      <c r="P195" t="s">
        <v>32</v>
      </c>
    </row>
    <row r="196" spans="1:16">
      <c r="A196">
        <v>100462</v>
      </c>
      <c r="B196" s="4">
        <v>45099</v>
      </c>
      <c r="C196" t="s">
        <v>247</v>
      </c>
      <c r="D196" t="s">
        <v>39</v>
      </c>
      <c r="E196" t="s">
        <v>25</v>
      </c>
      <c r="F196" t="s">
        <v>1237</v>
      </c>
      <c r="G196" t="s">
        <v>31</v>
      </c>
      <c r="H196">
        <v>1</v>
      </c>
      <c r="I196">
        <v>182.22</v>
      </c>
      <c r="J196">
        <v>5</v>
      </c>
      <c r="K196">
        <v>173.11</v>
      </c>
      <c r="L196">
        <v>66.75</v>
      </c>
      <c r="M196">
        <v>66.75</v>
      </c>
      <c r="N196">
        <v>35</v>
      </c>
      <c r="O196" t="s">
        <v>19</v>
      </c>
      <c r="P196" t="s">
        <v>20</v>
      </c>
    </row>
    <row r="197" spans="1:16">
      <c r="A197">
        <v>100374</v>
      </c>
      <c r="B197" s="4">
        <v>45781</v>
      </c>
      <c r="C197" t="s">
        <v>965</v>
      </c>
      <c r="D197" t="s">
        <v>100</v>
      </c>
      <c r="E197" t="s">
        <v>25</v>
      </c>
      <c r="F197" t="s">
        <v>1239</v>
      </c>
      <c r="G197" t="s">
        <v>48</v>
      </c>
      <c r="H197">
        <v>7</v>
      </c>
      <c r="I197">
        <v>123.33</v>
      </c>
      <c r="J197">
        <v>40</v>
      </c>
      <c r="K197">
        <v>517.99</v>
      </c>
      <c r="L197">
        <v>166.58</v>
      </c>
      <c r="M197">
        <v>1166.0600000000002</v>
      </c>
      <c r="N197">
        <v>23</v>
      </c>
      <c r="O197" t="s">
        <v>26</v>
      </c>
      <c r="P197" t="s">
        <v>32</v>
      </c>
    </row>
    <row r="198" spans="1:16">
      <c r="A198">
        <v>101180</v>
      </c>
      <c r="B198" s="4">
        <v>45203</v>
      </c>
      <c r="C198" t="s">
        <v>964</v>
      </c>
      <c r="D198" t="s">
        <v>87</v>
      </c>
      <c r="E198" t="s">
        <v>25</v>
      </c>
      <c r="F198" t="s">
        <v>1241</v>
      </c>
      <c r="G198" t="s">
        <v>18</v>
      </c>
      <c r="H198">
        <v>3</v>
      </c>
      <c r="I198">
        <v>94.73</v>
      </c>
      <c r="J198">
        <v>5</v>
      </c>
      <c r="K198">
        <v>269.98</v>
      </c>
      <c r="L198">
        <v>77.91</v>
      </c>
      <c r="M198">
        <v>233.73</v>
      </c>
      <c r="N198">
        <v>22</v>
      </c>
      <c r="O198" t="s">
        <v>26</v>
      </c>
      <c r="P198" t="s">
        <v>43</v>
      </c>
    </row>
    <row r="199" spans="1:16">
      <c r="A199">
        <v>100037</v>
      </c>
      <c r="B199" s="4">
        <v>45300</v>
      </c>
      <c r="C199" t="s">
        <v>961</v>
      </c>
      <c r="D199" t="s">
        <v>70</v>
      </c>
      <c r="E199" t="s">
        <v>25</v>
      </c>
      <c r="F199" t="s">
        <v>1241</v>
      </c>
      <c r="G199" t="s">
        <v>18</v>
      </c>
      <c r="H199">
        <v>5</v>
      </c>
      <c r="I199">
        <v>136.28</v>
      </c>
      <c r="J199">
        <v>0</v>
      </c>
      <c r="K199">
        <v>681.4</v>
      </c>
      <c r="L199">
        <v>235.26</v>
      </c>
      <c r="M199">
        <v>1176.3</v>
      </c>
      <c r="N199">
        <v>25</v>
      </c>
      <c r="O199" t="s">
        <v>26</v>
      </c>
      <c r="P199" t="s">
        <v>32</v>
      </c>
    </row>
    <row r="200" spans="1:16">
      <c r="A200">
        <v>100364</v>
      </c>
      <c r="B200" s="4">
        <v>45273</v>
      </c>
      <c r="C200" t="s">
        <v>959</v>
      </c>
      <c r="D200" t="s">
        <v>100</v>
      </c>
      <c r="E200" t="s">
        <v>25</v>
      </c>
      <c r="F200" t="s">
        <v>1239</v>
      </c>
      <c r="G200" t="s">
        <v>31</v>
      </c>
      <c r="H200">
        <v>2</v>
      </c>
      <c r="I200">
        <v>117.21</v>
      </c>
      <c r="J200">
        <v>0</v>
      </c>
      <c r="K200">
        <v>234.42</v>
      </c>
      <c r="L200">
        <v>76.150000000000006</v>
      </c>
      <c r="M200">
        <v>152.30000000000001</v>
      </c>
      <c r="N200">
        <v>51</v>
      </c>
      <c r="O200" t="s">
        <v>26</v>
      </c>
      <c r="P200" t="s">
        <v>35</v>
      </c>
    </row>
    <row r="201" spans="1:16">
      <c r="A201">
        <v>100026</v>
      </c>
      <c r="B201" s="4">
        <v>45085</v>
      </c>
      <c r="C201" t="s">
        <v>954</v>
      </c>
      <c r="D201" t="s">
        <v>73</v>
      </c>
      <c r="E201" t="s">
        <v>25</v>
      </c>
      <c r="F201" t="s">
        <v>1240</v>
      </c>
      <c r="G201" t="s">
        <v>31</v>
      </c>
      <c r="H201">
        <v>4</v>
      </c>
      <c r="I201">
        <v>32.03</v>
      </c>
      <c r="J201">
        <v>5</v>
      </c>
      <c r="K201">
        <v>121.71</v>
      </c>
      <c r="L201">
        <v>39.4</v>
      </c>
      <c r="M201">
        <v>157.6</v>
      </c>
      <c r="N201">
        <v>23</v>
      </c>
      <c r="O201" t="s">
        <v>26</v>
      </c>
      <c r="P201" t="s">
        <v>43</v>
      </c>
    </row>
    <row r="202" spans="1:16">
      <c r="A202">
        <v>100225</v>
      </c>
      <c r="B202" s="4">
        <v>45116</v>
      </c>
      <c r="C202" t="s">
        <v>953</v>
      </c>
      <c r="D202" t="s">
        <v>68</v>
      </c>
      <c r="E202" t="s">
        <v>25</v>
      </c>
      <c r="F202" t="s">
        <v>1240</v>
      </c>
      <c r="G202" t="s">
        <v>18</v>
      </c>
      <c r="H202">
        <v>2</v>
      </c>
      <c r="I202">
        <v>233.61</v>
      </c>
      <c r="J202">
        <v>5</v>
      </c>
      <c r="K202">
        <v>443.86</v>
      </c>
      <c r="L202">
        <v>130.18</v>
      </c>
      <c r="M202">
        <v>260.36</v>
      </c>
      <c r="N202">
        <v>28</v>
      </c>
      <c r="O202" t="s">
        <v>26</v>
      </c>
      <c r="P202" t="s">
        <v>46</v>
      </c>
    </row>
    <row r="203" spans="1:16">
      <c r="A203">
        <v>100907</v>
      </c>
      <c r="B203" s="4">
        <v>45451</v>
      </c>
      <c r="C203" t="s">
        <v>254</v>
      </c>
      <c r="D203" t="s">
        <v>100</v>
      </c>
      <c r="E203" t="s">
        <v>25</v>
      </c>
      <c r="F203" t="s">
        <v>1238</v>
      </c>
      <c r="G203" t="s">
        <v>18</v>
      </c>
      <c r="H203">
        <v>2</v>
      </c>
      <c r="I203">
        <v>134.09</v>
      </c>
      <c r="J203">
        <v>5</v>
      </c>
      <c r="K203">
        <v>254.77</v>
      </c>
      <c r="L203">
        <v>106.21</v>
      </c>
      <c r="M203">
        <v>212.42</v>
      </c>
      <c r="N203">
        <v>28</v>
      </c>
      <c r="O203" t="s">
        <v>26</v>
      </c>
      <c r="P203" t="s">
        <v>46</v>
      </c>
    </row>
    <row r="204" spans="1:16">
      <c r="A204">
        <v>100939</v>
      </c>
      <c r="B204" s="4">
        <v>44995</v>
      </c>
      <c r="C204" t="s">
        <v>952</v>
      </c>
      <c r="D204" t="s">
        <v>73</v>
      </c>
      <c r="E204" t="s">
        <v>25</v>
      </c>
      <c r="F204" t="s">
        <v>1237</v>
      </c>
      <c r="G204" t="s">
        <v>31</v>
      </c>
      <c r="H204">
        <v>5</v>
      </c>
      <c r="I204">
        <v>35.06</v>
      </c>
      <c r="J204">
        <v>5</v>
      </c>
      <c r="K204">
        <v>166.53</v>
      </c>
      <c r="L204">
        <v>51.25</v>
      </c>
      <c r="M204">
        <v>256.25</v>
      </c>
      <c r="N204">
        <v>33</v>
      </c>
      <c r="O204" t="s">
        <v>122</v>
      </c>
      <c r="P204" t="s">
        <v>35</v>
      </c>
    </row>
    <row r="205" spans="1:16">
      <c r="A205">
        <v>101128</v>
      </c>
      <c r="B205" s="4">
        <v>45420</v>
      </c>
      <c r="C205" t="s">
        <v>948</v>
      </c>
      <c r="D205" t="s">
        <v>73</v>
      </c>
      <c r="E205" t="s">
        <v>25</v>
      </c>
      <c r="F205" t="s">
        <v>1238</v>
      </c>
      <c r="G205" t="s">
        <v>31</v>
      </c>
      <c r="H205">
        <v>2</v>
      </c>
      <c r="I205">
        <v>34.69</v>
      </c>
      <c r="J205">
        <v>0</v>
      </c>
      <c r="K205">
        <v>69.38</v>
      </c>
      <c r="L205">
        <v>19.8</v>
      </c>
      <c r="M205">
        <v>39.6</v>
      </c>
      <c r="N205">
        <v>29</v>
      </c>
      <c r="O205" t="s">
        <v>26</v>
      </c>
      <c r="P205" t="s">
        <v>46</v>
      </c>
    </row>
    <row r="206" spans="1:16">
      <c r="A206">
        <v>100480</v>
      </c>
      <c r="B206" s="4">
        <v>45850</v>
      </c>
      <c r="C206" t="s">
        <v>947</v>
      </c>
      <c r="D206" t="s">
        <v>100</v>
      </c>
      <c r="E206" t="s">
        <v>25</v>
      </c>
      <c r="F206" t="s">
        <v>1239</v>
      </c>
      <c r="G206" t="s">
        <v>31</v>
      </c>
      <c r="H206">
        <v>2</v>
      </c>
      <c r="I206">
        <v>126.51</v>
      </c>
      <c r="J206">
        <v>0</v>
      </c>
      <c r="K206">
        <v>253.02</v>
      </c>
      <c r="L206">
        <v>65.92</v>
      </c>
      <c r="M206">
        <v>131.84</v>
      </c>
      <c r="N206">
        <v>26</v>
      </c>
      <c r="O206" t="s">
        <v>19</v>
      </c>
      <c r="P206" t="s">
        <v>27</v>
      </c>
    </row>
    <row r="207" spans="1:16">
      <c r="A207">
        <v>100220</v>
      </c>
      <c r="B207" s="4">
        <v>45862</v>
      </c>
      <c r="C207" t="s">
        <v>258</v>
      </c>
      <c r="D207" t="s">
        <v>42</v>
      </c>
      <c r="E207" t="s">
        <v>25</v>
      </c>
      <c r="F207" t="s">
        <v>1239</v>
      </c>
      <c r="G207" t="s">
        <v>64</v>
      </c>
      <c r="H207">
        <v>2</v>
      </c>
      <c r="I207">
        <v>154.19</v>
      </c>
      <c r="J207">
        <v>5</v>
      </c>
      <c r="K207">
        <v>292.95999999999998</v>
      </c>
      <c r="L207">
        <v>87.6</v>
      </c>
      <c r="M207">
        <v>175.2</v>
      </c>
      <c r="N207">
        <v>41</v>
      </c>
      <c r="O207" t="s">
        <v>26</v>
      </c>
      <c r="P207" t="s">
        <v>32</v>
      </c>
    </row>
    <row r="208" spans="1:16">
      <c r="A208">
        <v>100788</v>
      </c>
      <c r="B208" s="4">
        <v>45443</v>
      </c>
      <c r="C208" t="s">
        <v>259</v>
      </c>
      <c r="D208" t="s">
        <v>100</v>
      </c>
      <c r="E208" t="s">
        <v>25</v>
      </c>
      <c r="F208" t="s">
        <v>1240</v>
      </c>
      <c r="G208" t="s">
        <v>31</v>
      </c>
      <c r="H208">
        <v>4</v>
      </c>
      <c r="I208">
        <v>123.96</v>
      </c>
      <c r="J208">
        <v>5</v>
      </c>
      <c r="K208">
        <v>471.05</v>
      </c>
      <c r="L208">
        <v>135.24</v>
      </c>
      <c r="M208">
        <v>540.96</v>
      </c>
      <c r="N208">
        <v>36</v>
      </c>
      <c r="O208" t="s">
        <v>26</v>
      </c>
      <c r="P208" t="s">
        <v>81</v>
      </c>
    </row>
    <row r="209" spans="1:16">
      <c r="A209">
        <v>100515</v>
      </c>
      <c r="B209" s="4">
        <v>45816</v>
      </c>
      <c r="C209" t="s">
        <v>942</v>
      </c>
      <c r="D209" t="s">
        <v>42</v>
      </c>
      <c r="E209" t="s">
        <v>25</v>
      </c>
      <c r="F209" t="s">
        <v>1239</v>
      </c>
      <c r="G209" t="s">
        <v>18</v>
      </c>
      <c r="H209">
        <v>5</v>
      </c>
      <c r="I209">
        <v>158.09</v>
      </c>
      <c r="J209">
        <v>0</v>
      </c>
      <c r="K209">
        <v>790.45</v>
      </c>
      <c r="L209">
        <v>262.02</v>
      </c>
      <c r="M209">
        <v>1310.0999999999999</v>
      </c>
      <c r="N209">
        <v>23</v>
      </c>
      <c r="O209" t="s">
        <v>19</v>
      </c>
      <c r="P209" t="s">
        <v>32</v>
      </c>
    </row>
    <row r="210" spans="1:16">
      <c r="A210">
        <v>100713</v>
      </c>
      <c r="B210" s="4">
        <v>45252</v>
      </c>
      <c r="C210" t="s">
        <v>261</v>
      </c>
      <c r="D210" t="s">
        <v>100</v>
      </c>
      <c r="E210" t="s">
        <v>25</v>
      </c>
      <c r="F210" t="s">
        <v>1240</v>
      </c>
      <c r="G210" t="s">
        <v>48</v>
      </c>
      <c r="H210">
        <v>1</v>
      </c>
      <c r="I210">
        <v>111.35</v>
      </c>
      <c r="J210">
        <v>0</v>
      </c>
      <c r="K210">
        <v>111.35</v>
      </c>
      <c r="L210">
        <v>32.659999999999997</v>
      </c>
      <c r="M210">
        <v>32.659999999999997</v>
      </c>
      <c r="N210">
        <v>33</v>
      </c>
      <c r="O210" t="s">
        <v>26</v>
      </c>
      <c r="P210" t="s">
        <v>35</v>
      </c>
    </row>
    <row r="211" spans="1:16">
      <c r="A211">
        <v>101112</v>
      </c>
      <c r="B211" s="4">
        <v>45900</v>
      </c>
      <c r="C211" t="s">
        <v>262</v>
      </c>
      <c r="D211" t="s">
        <v>87</v>
      </c>
      <c r="E211" t="s">
        <v>25</v>
      </c>
      <c r="F211" t="s">
        <v>1237</v>
      </c>
      <c r="G211" t="s">
        <v>31</v>
      </c>
      <c r="H211">
        <v>2</v>
      </c>
      <c r="I211">
        <v>93.03</v>
      </c>
      <c r="J211">
        <v>5</v>
      </c>
      <c r="K211">
        <v>176.76</v>
      </c>
      <c r="L211">
        <v>56.59</v>
      </c>
      <c r="M211">
        <v>113.18</v>
      </c>
      <c r="N211">
        <v>30</v>
      </c>
      <c r="O211" t="s">
        <v>19</v>
      </c>
      <c r="P211" t="s">
        <v>32</v>
      </c>
    </row>
    <row r="212" spans="1:16">
      <c r="A212">
        <v>100546</v>
      </c>
      <c r="B212" s="4">
        <v>45465</v>
      </c>
      <c r="C212" t="s">
        <v>941</v>
      </c>
      <c r="D212" t="s">
        <v>100</v>
      </c>
      <c r="E212" t="s">
        <v>25</v>
      </c>
      <c r="F212" t="s">
        <v>1241</v>
      </c>
      <c r="G212" t="s">
        <v>18</v>
      </c>
      <c r="H212">
        <v>6</v>
      </c>
      <c r="I212">
        <v>137.22999999999999</v>
      </c>
      <c r="J212">
        <v>0</v>
      </c>
      <c r="K212">
        <v>823.38</v>
      </c>
      <c r="L212">
        <v>186.82</v>
      </c>
      <c r="M212">
        <v>1120.92</v>
      </c>
      <c r="N212">
        <v>22</v>
      </c>
      <c r="O212" t="s">
        <v>19</v>
      </c>
      <c r="P212" t="s">
        <v>27</v>
      </c>
    </row>
    <row r="213" spans="1:16">
      <c r="A213">
        <v>100191</v>
      </c>
      <c r="B213" s="4">
        <v>45441</v>
      </c>
      <c r="C213" t="s">
        <v>940</v>
      </c>
      <c r="D213" t="s">
        <v>70</v>
      </c>
      <c r="E213" t="s">
        <v>25</v>
      </c>
      <c r="F213" t="s">
        <v>1238</v>
      </c>
      <c r="G213" t="s">
        <v>18</v>
      </c>
      <c r="H213">
        <v>3</v>
      </c>
      <c r="I213">
        <v>157.69</v>
      </c>
      <c r="J213">
        <v>0</v>
      </c>
      <c r="K213">
        <v>473.07</v>
      </c>
      <c r="L213">
        <v>148.44</v>
      </c>
      <c r="M213">
        <v>445.32</v>
      </c>
      <c r="N213">
        <v>23</v>
      </c>
      <c r="O213" t="s">
        <v>26</v>
      </c>
      <c r="P213" t="s">
        <v>51</v>
      </c>
    </row>
    <row r="214" spans="1:16">
      <c r="A214">
        <v>100415</v>
      </c>
      <c r="B214" s="4">
        <v>45798</v>
      </c>
      <c r="C214" t="s">
        <v>265</v>
      </c>
      <c r="D214" t="s">
        <v>70</v>
      </c>
      <c r="E214" t="s">
        <v>25</v>
      </c>
      <c r="F214" t="s">
        <v>1241</v>
      </c>
      <c r="G214" t="s">
        <v>31</v>
      </c>
      <c r="H214">
        <v>3</v>
      </c>
      <c r="I214">
        <v>156.87</v>
      </c>
      <c r="J214">
        <v>10</v>
      </c>
      <c r="K214">
        <v>423.55</v>
      </c>
      <c r="L214">
        <v>165.28</v>
      </c>
      <c r="M214">
        <v>495.84000000000003</v>
      </c>
      <c r="N214">
        <v>28</v>
      </c>
      <c r="O214" t="s">
        <v>26</v>
      </c>
      <c r="P214" t="s">
        <v>46</v>
      </c>
    </row>
    <row r="215" spans="1:16">
      <c r="A215">
        <v>100898</v>
      </c>
      <c r="B215" s="4">
        <v>45859</v>
      </c>
      <c r="C215" t="s">
        <v>266</v>
      </c>
      <c r="D215" t="s">
        <v>87</v>
      </c>
      <c r="E215" t="s">
        <v>25</v>
      </c>
      <c r="F215" t="s">
        <v>1237</v>
      </c>
      <c r="G215" t="s">
        <v>18</v>
      </c>
      <c r="H215">
        <v>3</v>
      </c>
      <c r="I215">
        <v>79.150000000000006</v>
      </c>
      <c r="J215">
        <v>10</v>
      </c>
      <c r="K215">
        <v>213.71</v>
      </c>
      <c r="L215">
        <v>55.45</v>
      </c>
      <c r="M215">
        <v>166.35000000000002</v>
      </c>
      <c r="N215">
        <v>41</v>
      </c>
      <c r="O215" t="s">
        <v>19</v>
      </c>
      <c r="P215" t="s">
        <v>27</v>
      </c>
    </row>
    <row r="216" spans="1:16">
      <c r="A216">
        <v>100934</v>
      </c>
      <c r="B216" s="4">
        <v>45381</v>
      </c>
      <c r="C216" t="s">
        <v>267</v>
      </c>
      <c r="D216" t="s">
        <v>70</v>
      </c>
      <c r="E216" t="s">
        <v>25</v>
      </c>
      <c r="F216" t="s">
        <v>1241</v>
      </c>
      <c r="G216" t="s">
        <v>18</v>
      </c>
      <c r="H216">
        <v>3</v>
      </c>
      <c r="I216">
        <v>152.31</v>
      </c>
      <c r="J216">
        <v>0</v>
      </c>
      <c r="K216">
        <v>456.93</v>
      </c>
      <c r="L216">
        <v>191.73</v>
      </c>
      <c r="M216">
        <v>575.18999999999994</v>
      </c>
      <c r="N216">
        <v>22</v>
      </c>
      <c r="O216" t="s">
        <v>26</v>
      </c>
      <c r="P216" t="s">
        <v>51</v>
      </c>
    </row>
    <row r="217" spans="1:16">
      <c r="A217">
        <v>100048</v>
      </c>
      <c r="B217" s="4">
        <v>45379</v>
      </c>
      <c r="C217" t="s">
        <v>939</v>
      </c>
      <c r="D217" t="s">
        <v>73</v>
      </c>
      <c r="E217" t="s">
        <v>25</v>
      </c>
      <c r="F217" t="s">
        <v>1237</v>
      </c>
      <c r="G217" t="s">
        <v>64</v>
      </c>
      <c r="H217">
        <v>2</v>
      </c>
      <c r="I217">
        <v>36.24</v>
      </c>
      <c r="J217">
        <v>0</v>
      </c>
      <c r="K217">
        <v>72.48</v>
      </c>
      <c r="L217">
        <v>24.55</v>
      </c>
      <c r="M217">
        <v>49.1</v>
      </c>
      <c r="N217">
        <v>16</v>
      </c>
      <c r="O217" t="s">
        <v>19</v>
      </c>
      <c r="P217" t="s">
        <v>27</v>
      </c>
    </row>
    <row r="218" spans="1:16">
      <c r="A218">
        <v>100171</v>
      </c>
      <c r="B218" s="4">
        <v>45118</v>
      </c>
      <c r="C218" t="s">
        <v>936</v>
      </c>
      <c r="D218" t="s">
        <v>24</v>
      </c>
      <c r="E218" t="s">
        <v>25</v>
      </c>
      <c r="F218" t="s">
        <v>1238</v>
      </c>
      <c r="G218" t="s">
        <v>64</v>
      </c>
      <c r="H218">
        <v>3</v>
      </c>
      <c r="I218">
        <v>84.74</v>
      </c>
      <c r="J218">
        <v>0</v>
      </c>
      <c r="K218">
        <v>254.22</v>
      </c>
      <c r="L218">
        <v>79.44</v>
      </c>
      <c r="M218">
        <v>238.32</v>
      </c>
      <c r="N218">
        <v>42</v>
      </c>
      <c r="O218" t="s">
        <v>26</v>
      </c>
      <c r="P218" t="s">
        <v>81</v>
      </c>
    </row>
    <row r="219" spans="1:16">
      <c r="A219">
        <v>100247</v>
      </c>
      <c r="B219" s="4">
        <v>45821</v>
      </c>
      <c r="C219" t="s">
        <v>270</v>
      </c>
      <c r="D219" t="s">
        <v>24</v>
      </c>
      <c r="E219" t="s">
        <v>25</v>
      </c>
      <c r="F219" t="s">
        <v>1237</v>
      </c>
      <c r="G219" t="s">
        <v>31</v>
      </c>
      <c r="H219">
        <v>5</v>
      </c>
      <c r="I219">
        <v>92.32</v>
      </c>
      <c r="J219">
        <v>20</v>
      </c>
      <c r="K219">
        <v>369.28</v>
      </c>
      <c r="L219">
        <v>110.32</v>
      </c>
      <c r="M219">
        <v>551.59999999999991</v>
      </c>
      <c r="N219">
        <v>36</v>
      </c>
      <c r="O219" t="s">
        <v>19</v>
      </c>
      <c r="P219" t="s">
        <v>46</v>
      </c>
    </row>
    <row r="220" spans="1:16">
      <c r="A220">
        <v>100476</v>
      </c>
      <c r="B220" s="4">
        <v>45191</v>
      </c>
      <c r="C220" t="s">
        <v>933</v>
      </c>
      <c r="D220" t="s">
        <v>42</v>
      </c>
      <c r="E220" t="s">
        <v>25</v>
      </c>
      <c r="F220" t="s">
        <v>1238</v>
      </c>
      <c r="G220" t="s">
        <v>64</v>
      </c>
      <c r="H220">
        <v>3</v>
      </c>
      <c r="I220">
        <v>157.22</v>
      </c>
      <c r="J220">
        <v>0</v>
      </c>
      <c r="K220">
        <v>471.66</v>
      </c>
      <c r="L220">
        <v>134.22</v>
      </c>
      <c r="M220">
        <v>402.65999999999997</v>
      </c>
      <c r="N220">
        <v>28</v>
      </c>
      <c r="O220" t="s">
        <v>19</v>
      </c>
      <c r="P220" t="s">
        <v>20</v>
      </c>
    </row>
    <row r="221" spans="1:16">
      <c r="A221">
        <v>100372</v>
      </c>
      <c r="B221" s="4">
        <v>45233</v>
      </c>
      <c r="C221" t="s">
        <v>931</v>
      </c>
      <c r="D221" t="s">
        <v>24</v>
      </c>
      <c r="E221" t="s">
        <v>25</v>
      </c>
      <c r="F221" t="s">
        <v>1239</v>
      </c>
      <c r="G221" t="s">
        <v>18</v>
      </c>
      <c r="H221">
        <v>3</v>
      </c>
      <c r="I221">
        <v>90.24</v>
      </c>
      <c r="J221">
        <v>5</v>
      </c>
      <c r="K221">
        <v>257.18</v>
      </c>
      <c r="L221">
        <v>88.24</v>
      </c>
      <c r="M221">
        <v>264.71999999999997</v>
      </c>
      <c r="N221">
        <v>25</v>
      </c>
      <c r="O221" t="s">
        <v>19</v>
      </c>
      <c r="P221" t="s">
        <v>35</v>
      </c>
    </row>
    <row r="222" spans="1:16">
      <c r="A222">
        <v>101151</v>
      </c>
      <c r="B222" s="4">
        <v>45824</v>
      </c>
      <c r="C222" t="s">
        <v>929</v>
      </c>
      <c r="D222" t="s">
        <v>87</v>
      </c>
      <c r="E222" t="s">
        <v>25</v>
      </c>
      <c r="F222" t="s">
        <v>1241</v>
      </c>
      <c r="G222" t="s">
        <v>48</v>
      </c>
      <c r="H222">
        <v>3</v>
      </c>
      <c r="I222">
        <v>89.65</v>
      </c>
      <c r="J222">
        <v>0</v>
      </c>
      <c r="K222">
        <v>268.95</v>
      </c>
      <c r="L222">
        <v>98.54</v>
      </c>
      <c r="M222">
        <v>295.62</v>
      </c>
      <c r="N222">
        <v>47</v>
      </c>
      <c r="O222" t="s">
        <v>26</v>
      </c>
      <c r="P222" t="s">
        <v>81</v>
      </c>
    </row>
    <row r="223" spans="1:16">
      <c r="A223">
        <v>100967</v>
      </c>
      <c r="B223" s="4">
        <v>45423</v>
      </c>
      <c r="C223" t="s">
        <v>274</v>
      </c>
      <c r="D223" t="s">
        <v>87</v>
      </c>
      <c r="E223" t="s">
        <v>25</v>
      </c>
      <c r="F223" t="s">
        <v>1241</v>
      </c>
      <c r="G223" t="s">
        <v>64</v>
      </c>
      <c r="H223">
        <v>3</v>
      </c>
      <c r="I223">
        <v>80.41</v>
      </c>
      <c r="J223">
        <v>10</v>
      </c>
      <c r="K223">
        <v>217.11</v>
      </c>
      <c r="L223">
        <v>73.760000000000005</v>
      </c>
      <c r="M223">
        <v>221.28000000000003</v>
      </c>
      <c r="N223">
        <v>37</v>
      </c>
      <c r="O223" t="s">
        <v>19</v>
      </c>
      <c r="P223" t="s">
        <v>81</v>
      </c>
    </row>
    <row r="224" spans="1:16">
      <c r="A224">
        <v>101004</v>
      </c>
      <c r="B224" s="4">
        <v>45631</v>
      </c>
      <c r="C224" t="s">
        <v>275</v>
      </c>
      <c r="D224" t="s">
        <v>87</v>
      </c>
      <c r="E224" t="s">
        <v>25</v>
      </c>
      <c r="F224" t="s">
        <v>1241</v>
      </c>
      <c r="G224" t="s">
        <v>18</v>
      </c>
      <c r="H224">
        <v>4</v>
      </c>
      <c r="I224">
        <v>83.71</v>
      </c>
      <c r="J224">
        <v>0</v>
      </c>
      <c r="K224">
        <v>334.84</v>
      </c>
      <c r="L224">
        <v>75.38</v>
      </c>
      <c r="M224">
        <v>301.52</v>
      </c>
      <c r="N224">
        <v>20</v>
      </c>
      <c r="O224" t="s">
        <v>26</v>
      </c>
      <c r="P224" t="s">
        <v>51</v>
      </c>
    </row>
    <row r="225" spans="1:16">
      <c r="A225">
        <v>100744</v>
      </c>
      <c r="B225" s="4">
        <v>44957</v>
      </c>
      <c r="C225" t="s">
        <v>928</v>
      </c>
      <c r="D225" t="s">
        <v>87</v>
      </c>
      <c r="E225" t="s">
        <v>25</v>
      </c>
      <c r="F225" t="s">
        <v>1239</v>
      </c>
      <c r="G225" t="s">
        <v>31</v>
      </c>
      <c r="H225">
        <v>1</v>
      </c>
      <c r="I225">
        <v>81.45</v>
      </c>
      <c r="J225">
        <v>0</v>
      </c>
      <c r="K225">
        <v>81.45</v>
      </c>
      <c r="L225">
        <v>26.5</v>
      </c>
      <c r="M225">
        <v>26.5</v>
      </c>
      <c r="N225">
        <v>45</v>
      </c>
      <c r="O225" t="s">
        <v>26</v>
      </c>
      <c r="P225" t="s">
        <v>35</v>
      </c>
    </row>
    <row r="226" spans="1:16">
      <c r="A226">
        <v>101035</v>
      </c>
      <c r="B226" s="4">
        <v>45020</v>
      </c>
      <c r="C226" t="s">
        <v>926</v>
      </c>
      <c r="D226" t="s">
        <v>70</v>
      </c>
      <c r="E226" t="s">
        <v>25</v>
      </c>
      <c r="F226" t="s">
        <v>1238</v>
      </c>
      <c r="G226" t="s">
        <v>31</v>
      </c>
      <c r="H226">
        <v>2</v>
      </c>
      <c r="I226">
        <v>150.16</v>
      </c>
      <c r="J226">
        <v>5</v>
      </c>
      <c r="K226">
        <v>285.3</v>
      </c>
      <c r="L226">
        <v>104.02</v>
      </c>
      <c r="M226">
        <v>208.04</v>
      </c>
      <c r="N226">
        <v>24</v>
      </c>
      <c r="O226" t="s">
        <v>122</v>
      </c>
      <c r="P226" t="s">
        <v>51</v>
      </c>
    </row>
    <row r="227" spans="1:16">
      <c r="A227">
        <v>100496</v>
      </c>
      <c r="B227" s="4">
        <v>45499</v>
      </c>
      <c r="C227" t="s">
        <v>924</v>
      </c>
      <c r="D227" t="s">
        <v>24</v>
      </c>
      <c r="E227" t="s">
        <v>25</v>
      </c>
      <c r="F227" t="s">
        <v>1238</v>
      </c>
      <c r="G227" t="s">
        <v>18</v>
      </c>
      <c r="H227">
        <v>4</v>
      </c>
      <c r="I227">
        <v>103.78</v>
      </c>
      <c r="J227">
        <v>0</v>
      </c>
      <c r="K227">
        <v>415.12</v>
      </c>
      <c r="L227">
        <v>115.8</v>
      </c>
      <c r="M227">
        <v>463.2</v>
      </c>
      <c r="N227">
        <v>30</v>
      </c>
      <c r="O227" t="s">
        <v>26</v>
      </c>
      <c r="P227" t="s">
        <v>20</v>
      </c>
    </row>
    <row r="228" spans="1:16">
      <c r="A228">
        <v>100606</v>
      </c>
      <c r="B228" s="4">
        <v>45712</v>
      </c>
      <c r="C228" t="s">
        <v>921</v>
      </c>
      <c r="D228" t="s">
        <v>39</v>
      </c>
      <c r="E228" t="s">
        <v>25</v>
      </c>
      <c r="F228" t="s">
        <v>1238</v>
      </c>
      <c r="G228" t="s">
        <v>18</v>
      </c>
      <c r="H228">
        <v>4</v>
      </c>
      <c r="I228">
        <v>161.56</v>
      </c>
      <c r="J228">
        <v>10</v>
      </c>
      <c r="K228">
        <v>581.62</v>
      </c>
      <c r="L228">
        <v>180</v>
      </c>
      <c r="M228">
        <v>720</v>
      </c>
      <c r="N228">
        <v>31</v>
      </c>
      <c r="O228" t="s">
        <v>19</v>
      </c>
      <c r="P228" t="s">
        <v>81</v>
      </c>
    </row>
    <row r="229" spans="1:16">
      <c r="A229">
        <v>100083</v>
      </c>
      <c r="B229" s="4">
        <v>45362</v>
      </c>
      <c r="C229" t="s">
        <v>280</v>
      </c>
      <c r="D229" t="s">
        <v>87</v>
      </c>
      <c r="E229" t="s">
        <v>25</v>
      </c>
      <c r="F229" t="s">
        <v>1237</v>
      </c>
      <c r="G229" t="s">
        <v>48</v>
      </c>
      <c r="H229">
        <v>3</v>
      </c>
      <c r="I229">
        <v>87.25</v>
      </c>
      <c r="J229">
        <v>0</v>
      </c>
      <c r="K229">
        <v>261.75</v>
      </c>
      <c r="L229">
        <v>56.23</v>
      </c>
      <c r="M229">
        <v>168.69</v>
      </c>
      <c r="N229">
        <v>29</v>
      </c>
      <c r="O229" t="s">
        <v>19</v>
      </c>
      <c r="P229" t="s">
        <v>27</v>
      </c>
    </row>
    <row r="230" spans="1:16">
      <c r="A230">
        <v>100127</v>
      </c>
      <c r="B230" s="4">
        <v>45256</v>
      </c>
      <c r="C230" t="s">
        <v>913</v>
      </c>
      <c r="D230" t="s">
        <v>100</v>
      </c>
      <c r="E230" t="s">
        <v>25</v>
      </c>
      <c r="F230" t="s">
        <v>1241</v>
      </c>
      <c r="G230" t="s">
        <v>31</v>
      </c>
      <c r="H230">
        <v>2</v>
      </c>
      <c r="I230">
        <v>108.44</v>
      </c>
      <c r="J230">
        <v>10</v>
      </c>
      <c r="K230">
        <v>195.19</v>
      </c>
      <c r="L230">
        <v>44.82</v>
      </c>
      <c r="M230">
        <v>89.64</v>
      </c>
      <c r="N230">
        <v>23</v>
      </c>
      <c r="O230" t="s">
        <v>19</v>
      </c>
      <c r="P230" t="s">
        <v>43</v>
      </c>
    </row>
    <row r="231" spans="1:16">
      <c r="A231">
        <v>100792</v>
      </c>
      <c r="B231" s="4">
        <v>45709</v>
      </c>
      <c r="C231" t="s">
        <v>911</v>
      </c>
      <c r="D231" t="s">
        <v>68</v>
      </c>
      <c r="E231" t="s">
        <v>25</v>
      </c>
      <c r="F231" t="s">
        <v>1239</v>
      </c>
      <c r="G231" t="s">
        <v>31</v>
      </c>
      <c r="H231">
        <v>4</v>
      </c>
      <c r="I231">
        <v>252.89</v>
      </c>
      <c r="J231">
        <v>0</v>
      </c>
      <c r="K231">
        <v>1011.56</v>
      </c>
      <c r="L231">
        <v>324.7</v>
      </c>
      <c r="M231">
        <v>1298.8</v>
      </c>
      <c r="N231">
        <v>25</v>
      </c>
      <c r="O231" t="s">
        <v>26</v>
      </c>
      <c r="P231" t="s">
        <v>51</v>
      </c>
    </row>
    <row r="232" spans="1:16">
      <c r="A232">
        <v>100734</v>
      </c>
      <c r="B232" s="4">
        <v>45659</v>
      </c>
      <c r="C232" t="s">
        <v>910</v>
      </c>
      <c r="D232" t="s">
        <v>73</v>
      </c>
      <c r="E232" t="s">
        <v>25</v>
      </c>
      <c r="F232" t="s">
        <v>1241</v>
      </c>
      <c r="G232" t="s">
        <v>31</v>
      </c>
      <c r="H232">
        <v>2</v>
      </c>
      <c r="I232">
        <v>35.51</v>
      </c>
      <c r="J232">
        <v>0</v>
      </c>
      <c r="K232">
        <v>71.02</v>
      </c>
      <c r="L232">
        <v>25.62</v>
      </c>
      <c r="M232">
        <v>51.24</v>
      </c>
      <c r="N232">
        <v>42</v>
      </c>
      <c r="O232" t="s">
        <v>26</v>
      </c>
      <c r="P232" t="s">
        <v>27</v>
      </c>
    </row>
    <row r="233" spans="1:16">
      <c r="A233">
        <v>101143</v>
      </c>
      <c r="B233" s="4">
        <v>45831</v>
      </c>
      <c r="C233" t="s">
        <v>909</v>
      </c>
      <c r="D233" t="s">
        <v>70</v>
      </c>
      <c r="E233" t="s">
        <v>25</v>
      </c>
      <c r="F233" t="s">
        <v>1240</v>
      </c>
      <c r="G233" t="s">
        <v>18</v>
      </c>
      <c r="H233">
        <v>3</v>
      </c>
      <c r="I233">
        <v>141.38</v>
      </c>
      <c r="J233">
        <v>10</v>
      </c>
      <c r="K233">
        <v>381.73</v>
      </c>
      <c r="L233">
        <v>117.96</v>
      </c>
      <c r="M233">
        <v>353.88</v>
      </c>
      <c r="N233">
        <v>24</v>
      </c>
      <c r="O233" t="s">
        <v>26</v>
      </c>
      <c r="P233" t="s">
        <v>32</v>
      </c>
    </row>
    <row r="234" spans="1:16">
      <c r="A234">
        <v>100872</v>
      </c>
      <c r="B234" s="4">
        <v>45306</v>
      </c>
      <c r="C234" t="s">
        <v>907</v>
      </c>
      <c r="D234" t="s">
        <v>73</v>
      </c>
      <c r="E234" t="s">
        <v>25</v>
      </c>
      <c r="F234" t="s">
        <v>1241</v>
      </c>
      <c r="G234" t="s">
        <v>18</v>
      </c>
      <c r="H234">
        <v>4</v>
      </c>
      <c r="I234">
        <v>32.76</v>
      </c>
      <c r="J234">
        <v>5</v>
      </c>
      <c r="K234">
        <v>124.49</v>
      </c>
      <c r="L234">
        <v>35.81</v>
      </c>
      <c r="M234">
        <v>143.24</v>
      </c>
      <c r="N234">
        <v>27</v>
      </c>
      <c r="O234" t="s">
        <v>26</v>
      </c>
      <c r="P234" t="s">
        <v>43</v>
      </c>
    </row>
    <row r="235" spans="1:16">
      <c r="A235">
        <v>100644</v>
      </c>
      <c r="B235" s="4">
        <v>45519</v>
      </c>
      <c r="C235" t="s">
        <v>286</v>
      </c>
      <c r="D235" t="s">
        <v>42</v>
      </c>
      <c r="E235" t="s">
        <v>25</v>
      </c>
      <c r="F235" t="s">
        <v>1237</v>
      </c>
      <c r="G235" t="s">
        <v>18</v>
      </c>
      <c r="H235">
        <v>3</v>
      </c>
      <c r="I235">
        <v>161.80000000000001</v>
      </c>
      <c r="J235">
        <v>0</v>
      </c>
      <c r="K235">
        <v>485.4</v>
      </c>
      <c r="L235">
        <v>184.18</v>
      </c>
      <c r="M235">
        <v>552.54</v>
      </c>
      <c r="N235">
        <v>20</v>
      </c>
      <c r="O235" t="s">
        <v>19</v>
      </c>
      <c r="P235" t="s">
        <v>81</v>
      </c>
    </row>
    <row r="236" spans="1:16">
      <c r="A236">
        <v>100973</v>
      </c>
      <c r="B236" s="4">
        <v>45821</v>
      </c>
      <c r="C236" t="s">
        <v>287</v>
      </c>
      <c r="D236" t="s">
        <v>70</v>
      </c>
      <c r="E236" t="s">
        <v>25</v>
      </c>
      <c r="F236" t="s">
        <v>1237</v>
      </c>
      <c r="G236" t="s">
        <v>31</v>
      </c>
      <c r="H236">
        <v>3</v>
      </c>
      <c r="I236">
        <v>142.9</v>
      </c>
      <c r="J236">
        <v>0</v>
      </c>
      <c r="K236">
        <v>428.7</v>
      </c>
      <c r="L236">
        <v>137.94999999999999</v>
      </c>
      <c r="M236">
        <v>413.84999999999997</v>
      </c>
      <c r="N236">
        <v>34</v>
      </c>
      <c r="O236" t="s">
        <v>26</v>
      </c>
      <c r="P236" t="s">
        <v>46</v>
      </c>
    </row>
    <row r="237" spans="1:16">
      <c r="A237">
        <v>100382</v>
      </c>
      <c r="B237" s="4">
        <v>45767</v>
      </c>
      <c r="C237" t="s">
        <v>288</v>
      </c>
      <c r="D237" t="s">
        <v>70</v>
      </c>
      <c r="E237" t="s">
        <v>25</v>
      </c>
      <c r="F237" t="s">
        <v>1241</v>
      </c>
      <c r="G237" t="s">
        <v>18</v>
      </c>
      <c r="H237">
        <v>4</v>
      </c>
      <c r="I237">
        <v>160.12</v>
      </c>
      <c r="J237">
        <v>0</v>
      </c>
      <c r="K237">
        <v>640.48</v>
      </c>
      <c r="L237">
        <v>210.06</v>
      </c>
      <c r="M237">
        <v>840.24</v>
      </c>
      <c r="N237">
        <v>24</v>
      </c>
      <c r="O237" t="s">
        <v>26</v>
      </c>
      <c r="P237" t="s">
        <v>35</v>
      </c>
    </row>
    <row r="238" spans="1:16">
      <c r="A238">
        <v>100867</v>
      </c>
      <c r="B238" s="4">
        <v>45142</v>
      </c>
      <c r="C238" t="s">
        <v>289</v>
      </c>
      <c r="D238" t="s">
        <v>100</v>
      </c>
      <c r="E238" t="s">
        <v>25</v>
      </c>
      <c r="F238" t="s">
        <v>1237</v>
      </c>
      <c r="G238" t="s">
        <v>48</v>
      </c>
      <c r="H238">
        <v>3</v>
      </c>
      <c r="I238">
        <v>138.03</v>
      </c>
      <c r="J238">
        <v>0</v>
      </c>
      <c r="K238">
        <v>414.09</v>
      </c>
      <c r="L238">
        <v>137.47999999999999</v>
      </c>
      <c r="M238">
        <v>412.43999999999994</v>
      </c>
      <c r="N238">
        <v>19</v>
      </c>
      <c r="O238" t="s">
        <v>19</v>
      </c>
      <c r="P238" t="s">
        <v>20</v>
      </c>
    </row>
    <row r="239" spans="1:16">
      <c r="A239">
        <v>101199</v>
      </c>
      <c r="B239" s="4">
        <v>45275</v>
      </c>
      <c r="C239" t="s">
        <v>905</v>
      </c>
      <c r="D239" t="s">
        <v>42</v>
      </c>
      <c r="E239" t="s">
        <v>25</v>
      </c>
      <c r="F239" t="s">
        <v>1240</v>
      </c>
      <c r="G239" t="s">
        <v>31</v>
      </c>
      <c r="H239">
        <v>2</v>
      </c>
      <c r="I239">
        <v>176.23</v>
      </c>
      <c r="J239">
        <v>0</v>
      </c>
      <c r="K239">
        <v>352.46</v>
      </c>
      <c r="L239">
        <v>120.59</v>
      </c>
      <c r="M239">
        <v>241.18</v>
      </c>
      <c r="N239">
        <v>36</v>
      </c>
      <c r="O239" t="s">
        <v>26</v>
      </c>
      <c r="P239" t="s">
        <v>51</v>
      </c>
    </row>
    <row r="240" spans="1:16">
      <c r="A240">
        <v>101193</v>
      </c>
      <c r="B240" s="4">
        <v>45799</v>
      </c>
      <c r="C240" t="s">
        <v>291</v>
      </c>
      <c r="D240" t="s">
        <v>42</v>
      </c>
      <c r="E240" t="s">
        <v>25</v>
      </c>
      <c r="F240" t="s">
        <v>1237</v>
      </c>
      <c r="G240" t="s">
        <v>31</v>
      </c>
      <c r="H240">
        <v>3</v>
      </c>
      <c r="I240">
        <v>156.99</v>
      </c>
      <c r="J240">
        <v>20</v>
      </c>
      <c r="K240">
        <v>376.78</v>
      </c>
      <c r="L240">
        <v>142.68</v>
      </c>
      <c r="M240">
        <v>428.04</v>
      </c>
      <c r="N240">
        <v>25</v>
      </c>
      <c r="O240" t="s">
        <v>19</v>
      </c>
      <c r="P240" t="s">
        <v>43</v>
      </c>
    </row>
    <row r="241" spans="1:16">
      <c r="A241">
        <v>100874</v>
      </c>
      <c r="B241" s="4">
        <v>45431</v>
      </c>
      <c r="C241" t="s">
        <v>292</v>
      </c>
      <c r="D241" t="s">
        <v>100</v>
      </c>
      <c r="E241" t="s">
        <v>25</v>
      </c>
      <c r="F241" t="s">
        <v>1241</v>
      </c>
      <c r="G241" t="s">
        <v>48</v>
      </c>
      <c r="H241">
        <v>4</v>
      </c>
      <c r="I241">
        <v>134.99</v>
      </c>
      <c r="J241">
        <v>20</v>
      </c>
      <c r="K241">
        <v>431.97</v>
      </c>
      <c r="L241">
        <v>106.8</v>
      </c>
      <c r="M241">
        <v>427.2</v>
      </c>
      <c r="N241">
        <v>36</v>
      </c>
      <c r="O241" t="s">
        <v>26</v>
      </c>
      <c r="P241" t="s">
        <v>20</v>
      </c>
    </row>
    <row r="242" spans="1:16">
      <c r="A242">
        <v>100625</v>
      </c>
      <c r="B242" s="4">
        <v>45447</v>
      </c>
      <c r="C242" t="s">
        <v>904</v>
      </c>
      <c r="D242" t="s">
        <v>87</v>
      </c>
      <c r="E242" t="s">
        <v>25</v>
      </c>
      <c r="F242" t="s">
        <v>1237</v>
      </c>
      <c r="G242" t="s">
        <v>18</v>
      </c>
      <c r="H242">
        <v>4</v>
      </c>
      <c r="I242">
        <v>83.94</v>
      </c>
      <c r="J242">
        <v>5</v>
      </c>
      <c r="K242">
        <v>318.97000000000003</v>
      </c>
      <c r="L242">
        <v>118.43</v>
      </c>
      <c r="M242">
        <v>473.72</v>
      </c>
      <c r="N242">
        <v>25</v>
      </c>
      <c r="O242" t="s">
        <v>19</v>
      </c>
      <c r="P242" t="s">
        <v>27</v>
      </c>
    </row>
    <row r="243" spans="1:16">
      <c r="A243">
        <v>100409</v>
      </c>
      <c r="B243" s="4">
        <v>45604</v>
      </c>
      <c r="C243" t="s">
        <v>294</v>
      </c>
      <c r="D243" t="s">
        <v>87</v>
      </c>
      <c r="E243" t="s">
        <v>25</v>
      </c>
      <c r="F243" t="s">
        <v>1241</v>
      </c>
      <c r="G243" t="s">
        <v>31</v>
      </c>
      <c r="H243">
        <v>4</v>
      </c>
      <c r="I243">
        <v>88.17</v>
      </c>
      <c r="J243">
        <v>0</v>
      </c>
      <c r="K243">
        <v>352.68</v>
      </c>
      <c r="L243">
        <v>91.08</v>
      </c>
      <c r="M243">
        <v>364.32</v>
      </c>
      <c r="N243">
        <v>46</v>
      </c>
      <c r="O243" t="s">
        <v>26</v>
      </c>
      <c r="P243" t="s">
        <v>27</v>
      </c>
    </row>
    <row r="244" spans="1:16">
      <c r="A244">
        <v>100076</v>
      </c>
      <c r="B244" s="4">
        <v>45924</v>
      </c>
      <c r="C244" t="s">
        <v>295</v>
      </c>
      <c r="D244" t="s">
        <v>70</v>
      </c>
      <c r="E244" t="s">
        <v>25</v>
      </c>
      <c r="F244" t="s">
        <v>1237</v>
      </c>
      <c r="G244" t="s">
        <v>18</v>
      </c>
      <c r="H244">
        <v>5</v>
      </c>
      <c r="I244">
        <v>153.55000000000001</v>
      </c>
      <c r="J244">
        <v>0</v>
      </c>
      <c r="K244">
        <v>767.75</v>
      </c>
      <c r="L244">
        <v>188.2</v>
      </c>
      <c r="M244">
        <v>941</v>
      </c>
      <c r="N244">
        <v>17</v>
      </c>
      <c r="O244" t="s">
        <v>19</v>
      </c>
      <c r="P244" t="s">
        <v>46</v>
      </c>
    </row>
    <row r="245" spans="1:16">
      <c r="A245">
        <v>100287</v>
      </c>
      <c r="B245" s="4">
        <v>45332</v>
      </c>
      <c r="C245" t="s">
        <v>903</v>
      </c>
      <c r="D245" t="s">
        <v>39</v>
      </c>
      <c r="E245" t="s">
        <v>25</v>
      </c>
      <c r="F245" t="s">
        <v>1239</v>
      </c>
      <c r="G245" t="s">
        <v>18</v>
      </c>
      <c r="H245">
        <v>1</v>
      </c>
      <c r="I245">
        <v>153.12</v>
      </c>
      <c r="J245">
        <v>0</v>
      </c>
      <c r="K245">
        <v>153.12</v>
      </c>
      <c r="L245">
        <v>49.61</v>
      </c>
      <c r="M245">
        <v>49.61</v>
      </c>
      <c r="N245">
        <v>19</v>
      </c>
      <c r="O245" t="s">
        <v>26</v>
      </c>
      <c r="P245" t="s">
        <v>81</v>
      </c>
    </row>
    <row r="246" spans="1:16">
      <c r="A246">
        <v>100853</v>
      </c>
      <c r="B246" s="4">
        <v>45651</v>
      </c>
      <c r="C246" t="s">
        <v>127</v>
      </c>
      <c r="D246" t="s">
        <v>39</v>
      </c>
      <c r="E246" t="s">
        <v>25</v>
      </c>
      <c r="F246" t="s">
        <v>1237</v>
      </c>
      <c r="G246" t="s">
        <v>31</v>
      </c>
      <c r="H246">
        <v>3</v>
      </c>
      <c r="I246">
        <v>176.67</v>
      </c>
      <c r="J246">
        <v>0</v>
      </c>
      <c r="K246">
        <v>530.01</v>
      </c>
      <c r="L246">
        <v>197.42</v>
      </c>
      <c r="M246">
        <v>592.26</v>
      </c>
      <c r="N246">
        <v>18</v>
      </c>
      <c r="O246" t="s">
        <v>19</v>
      </c>
      <c r="P246" t="s">
        <v>27</v>
      </c>
    </row>
    <row r="247" spans="1:16">
      <c r="A247">
        <v>100489</v>
      </c>
      <c r="B247" s="4">
        <v>45914</v>
      </c>
      <c r="C247" t="s">
        <v>899</v>
      </c>
      <c r="D247" t="s">
        <v>39</v>
      </c>
      <c r="E247" t="s">
        <v>25</v>
      </c>
      <c r="F247" t="s">
        <v>1237</v>
      </c>
      <c r="G247" t="s">
        <v>31</v>
      </c>
      <c r="H247">
        <v>4</v>
      </c>
      <c r="I247">
        <v>148.24</v>
      </c>
      <c r="J247">
        <v>0</v>
      </c>
      <c r="K247">
        <v>592.96</v>
      </c>
      <c r="L247">
        <v>197.2</v>
      </c>
      <c r="M247">
        <v>788.8</v>
      </c>
      <c r="N247">
        <v>20</v>
      </c>
      <c r="O247" t="s">
        <v>19</v>
      </c>
      <c r="P247" t="s">
        <v>27</v>
      </c>
    </row>
    <row r="248" spans="1:16">
      <c r="A248">
        <v>100673</v>
      </c>
      <c r="B248" s="4">
        <v>45709</v>
      </c>
      <c r="C248" t="s">
        <v>299</v>
      </c>
      <c r="D248" t="s">
        <v>70</v>
      </c>
      <c r="E248" t="s">
        <v>25</v>
      </c>
      <c r="F248" t="s">
        <v>1238</v>
      </c>
      <c r="G248" t="s">
        <v>18</v>
      </c>
      <c r="H248">
        <v>2</v>
      </c>
      <c r="I248">
        <v>147.27000000000001</v>
      </c>
      <c r="J248">
        <v>0</v>
      </c>
      <c r="K248">
        <v>294.54000000000002</v>
      </c>
      <c r="L248">
        <v>118.55</v>
      </c>
      <c r="M248">
        <v>237.1</v>
      </c>
      <c r="N248">
        <v>30</v>
      </c>
      <c r="O248" t="s">
        <v>26</v>
      </c>
      <c r="P248" t="s">
        <v>32</v>
      </c>
    </row>
    <row r="249" spans="1:16">
      <c r="A249">
        <v>100784</v>
      </c>
      <c r="B249" s="4">
        <v>45355</v>
      </c>
      <c r="C249" t="s">
        <v>897</v>
      </c>
      <c r="D249" t="s">
        <v>42</v>
      </c>
      <c r="E249" t="s">
        <v>25</v>
      </c>
      <c r="F249" t="s">
        <v>1241</v>
      </c>
      <c r="G249" t="s">
        <v>18</v>
      </c>
      <c r="H249">
        <v>5</v>
      </c>
      <c r="I249">
        <v>176.44</v>
      </c>
      <c r="J249">
        <v>5</v>
      </c>
      <c r="K249">
        <v>838.09</v>
      </c>
      <c r="L249">
        <v>149.75</v>
      </c>
      <c r="M249">
        <v>748.75</v>
      </c>
      <c r="N249">
        <v>35</v>
      </c>
      <c r="O249" t="s">
        <v>26</v>
      </c>
      <c r="P249" t="s">
        <v>46</v>
      </c>
    </row>
    <row r="250" spans="1:16">
      <c r="A250">
        <v>100063</v>
      </c>
      <c r="B250" s="4">
        <v>45504</v>
      </c>
      <c r="C250" t="s">
        <v>301</v>
      </c>
      <c r="D250" t="s">
        <v>73</v>
      </c>
      <c r="E250" t="s">
        <v>25</v>
      </c>
      <c r="F250" t="s">
        <v>1241</v>
      </c>
      <c r="G250" t="s">
        <v>18</v>
      </c>
      <c r="H250">
        <v>2</v>
      </c>
      <c r="I250">
        <v>33.42</v>
      </c>
      <c r="J250">
        <v>5</v>
      </c>
      <c r="K250">
        <v>63.5</v>
      </c>
      <c r="L250">
        <v>19.829999999999998</v>
      </c>
      <c r="M250">
        <v>39.659999999999997</v>
      </c>
      <c r="N250">
        <v>25</v>
      </c>
      <c r="O250" t="s">
        <v>19</v>
      </c>
      <c r="P250" t="s">
        <v>27</v>
      </c>
    </row>
    <row r="251" spans="1:16">
      <c r="A251">
        <v>100810</v>
      </c>
      <c r="B251" s="4">
        <v>45007</v>
      </c>
      <c r="C251" t="s">
        <v>894</v>
      </c>
      <c r="D251" t="s">
        <v>100</v>
      </c>
      <c r="E251" t="s">
        <v>25</v>
      </c>
      <c r="F251" t="s">
        <v>1237</v>
      </c>
      <c r="G251" t="s">
        <v>18</v>
      </c>
      <c r="H251">
        <v>3</v>
      </c>
      <c r="I251">
        <v>140.88999999999999</v>
      </c>
      <c r="J251">
        <v>40</v>
      </c>
      <c r="K251">
        <v>253.6</v>
      </c>
      <c r="L251">
        <v>85.72</v>
      </c>
      <c r="M251">
        <v>257.15999999999997</v>
      </c>
      <c r="N251">
        <v>43</v>
      </c>
      <c r="O251" t="s">
        <v>26</v>
      </c>
      <c r="P251" t="s">
        <v>32</v>
      </c>
    </row>
    <row r="252" spans="1:16">
      <c r="A252">
        <v>100175</v>
      </c>
      <c r="B252" s="4">
        <v>45737</v>
      </c>
      <c r="C252" t="s">
        <v>892</v>
      </c>
      <c r="D252" t="s">
        <v>73</v>
      </c>
      <c r="E252" t="s">
        <v>25</v>
      </c>
      <c r="F252" t="s">
        <v>1238</v>
      </c>
      <c r="G252" t="s">
        <v>18</v>
      </c>
      <c r="H252">
        <v>1</v>
      </c>
      <c r="I252">
        <v>33.53</v>
      </c>
      <c r="J252">
        <v>0</v>
      </c>
      <c r="K252">
        <v>33.53</v>
      </c>
      <c r="L252">
        <v>12.68</v>
      </c>
      <c r="M252">
        <v>12.68</v>
      </c>
      <c r="N252">
        <v>29</v>
      </c>
      <c r="O252" t="s">
        <v>26</v>
      </c>
      <c r="P252" t="s">
        <v>46</v>
      </c>
    </row>
    <row r="253" spans="1:16">
      <c r="A253">
        <v>100376</v>
      </c>
      <c r="B253" s="4">
        <v>45080</v>
      </c>
      <c r="C253" t="s">
        <v>304</v>
      </c>
      <c r="D253" t="s">
        <v>68</v>
      </c>
      <c r="E253" t="s">
        <v>25</v>
      </c>
      <c r="F253" t="s">
        <v>1237</v>
      </c>
      <c r="G253" t="s">
        <v>64</v>
      </c>
      <c r="H253">
        <v>1</v>
      </c>
      <c r="I253">
        <v>186.67</v>
      </c>
      <c r="J253">
        <v>0</v>
      </c>
      <c r="K253">
        <v>186.67</v>
      </c>
      <c r="L253">
        <v>57.99</v>
      </c>
      <c r="M253">
        <v>57.99</v>
      </c>
      <c r="N253">
        <v>41</v>
      </c>
      <c r="O253" t="s">
        <v>26</v>
      </c>
      <c r="P253" t="s">
        <v>27</v>
      </c>
    </row>
    <row r="254" spans="1:16">
      <c r="A254">
        <v>100038</v>
      </c>
      <c r="B254" s="4">
        <v>45812</v>
      </c>
      <c r="C254" t="s">
        <v>891</v>
      </c>
      <c r="D254" t="s">
        <v>42</v>
      </c>
      <c r="E254" t="s">
        <v>25</v>
      </c>
      <c r="F254" t="s">
        <v>1237</v>
      </c>
      <c r="G254" t="s">
        <v>48</v>
      </c>
      <c r="H254">
        <v>5</v>
      </c>
      <c r="I254">
        <v>163.9</v>
      </c>
      <c r="J254">
        <v>0</v>
      </c>
      <c r="K254">
        <v>819.5</v>
      </c>
      <c r="L254">
        <v>256.39</v>
      </c>
      <c r="M254">
        <v>1281.9499999999998</v>
      </c>
      <c r="N254">
        <v>37</v>
      </c>
      <c r="O254" t="s">
        <v>26</v>
      </c>
      <c r="P254" t="s">
        <v>43</v>
      </c>
    </row>
    <row r="255" spans="1:16">
      <c r="A255">
        <v>101070</v>
      </c>
      <c r="B255" s="4">
        <v>45297</v>
      </c>
      <c r="C255" t="s">
        <v>884</v>
      </c>
      <c r="D255" t="s">
        <v>39</v>
      </c>
      <c r="E255" t="s">
        <v>25</v>
      </c>
      <c r="F255" t="s">
        <v>1239</v>
      </c>
      <c r="G255" t="s">
        <v>18</v>
      </c>
      <c r="H255">
        <v>5</v>
      </c>
      <c r="I255">
        <v>185.68</v>
      </c>
      <c r="J255">
        <v>20</v>
      </c>
      <c r="K255">
        <v>742.72</v>
      </c>
      <c r="L255">
        <v>207.01</v>
      </c>
      <c r="M255">
        <v>1035.05</v>
      </c>
      <c r="N255">
        <v>24</v>
      </c>
      <c r="O255" t="s">
        <v>26</v>
      </c>
      <c r="P255" t="s">
        <v>35</v>
      </c>
    </row>
    <row r="256" spans="1:16">
      <c r="A256">
        <v>100019</v>
      </c>
      <c r="B256" s="4">
        <v>44996</v>
      </c>
      <c r="C256" t="s">
        <v>878</v>
      </c>
      <c r="D256" t="s">
        <v>70</v>
      </c>
      <c r="E256" t="s">
        <v>25</v>
      </c>
      <c r="F256" t="s">
        <v>1241</v>
      </c>
      <c r="G256" t="s">
        <v>18</v>
      </c>
      <c r="H256">
        <v>2</v>
      </c>
      <c r="I256">
        <v>154.15</v>
      </c>
      <c r="J256">
        <v>0</v>
      </c>
      <c r="K256">
        <v>308.3</v>
      </c>
      <c r="L256">
        <v>99.47</v>
      </c>
      <c r="M256">
        <v>198.94</v>
      </c>
      <c r="N256">
        <v>28</v>
      </c>
      <c r="O256" t="s">
        <v>19</v>
      </c>
      <c r="P256" t="s">
        <v>51</v>
      </c>
    </row>
    <row r="257" spans="1:16">
      <c r="A257">
        <v>100653</v>
      </c>
      <c r="B257" s="4">
        <v>45620</v>
      </c>
      <c r="C257" t="s">
        <v>873</v>
      </c>
      <c r="D257" t="s">
        <v>42</v>
      </c>
      <c r="E257" t="s">
        <v>25</v>
      </c>
      <c r="F257" t="s">
        <v>1241</v>
      </c>
      <c r="G257" t="s">
        <v>18</v>
      </c>
      <c r="H257">
        <v>3</v>
      </c>
      <c r="I257">
        <v>166.49</v>
      </c>
      <c r="J257">
        <v>5</v>
      </c>
      <c r="K257">
        <v>474.5</v>
      </c>
      <c r="L257">
        <v>134.59</v>
      </c>
      <c r="M257">
        <v>403.77</v>
      </c>
      <c r="N257">
        <v>28</v>
      </c>
      <c r="O257" t="s">
        <v>26</v>
      </c>
      <c r="P257" t="s">
        <v>32</v>
      </c>
    </row>
    <row r="258" spans="1:16">
      <c r="A258">
        <v>100224</v>
      </c>
      <c r="B258" s="4">
        <v>45106</v>
      </c>
      <c r="C258" t="s">
        <v>309</v>
      </c>
      <c r="D258" t="s">
        <v>100</v>
      </c>
      <c r="E258" t="s">
        <v>25</v>
      </c>
      <c r="F258" t="s">
        <v>1239</v>
      </c>
      <c r="G258" t="s">
        <v>48</v>
      </c>
      <c r="H258">
        <v>3</v>
      </c>
      <c r="I258">
        <v>119.72</v>
      </c>
      <c r="J258">
        <v>0</v>
      </c>
      <c r="K258">
        <v>359.16</v>
      </c>
      <c r="L258">
        <v>87.93</v>
      </c>
      <c r="M258">
        <v>263.79000000000002</v>
      </c>
      <c r="N258">
        <v>42</v>
      </c>
      <c r="O258" t="s">
        <v>26</v>
      </c>
      <c r="P258" t="s">
        <v>27</v>
      </c>
    </row>
    <row r="259" spans="1:16">
      <c r="A259">
        <v>100142</v>
      </c>
      <c r="B259" s="4">
        <v>45809</v>
      </c>
      <c r="C259" t="s">
        <v>871</v>
      </c>
      <c r="D259" t="s">
        <v>70</v>
      </c>
      <c r="E259" t="s">
        <v>25</v>
      </c>
      <c r="F259" t="s">
        <v>1238</v>
      </c>
      <c r="G259" t="s">
        <v>18</v>
      </c>
      <c r="H259">
        <v>3</v>
      </c>
      <c r="I259">
        <v>131.71</v>
      </c>
      <c r="J259">
        <v>5</v>
      </c>
      <c r="K259">
        <v>375.37</v>
      </c>
      <c r="L259">
        <v>97.63</v>
      </c>
      <c r="M259">
        <v>292.89</v>
      </c>
      <c r="N259">
        <v>22</v>
      </c>
      <c r="O259" t="s">
        <v>26</v>
      </c>
      <c r="P259" t="s">
        <v>32</v>
      </c>
    </row>
    <row r="260" spans="1:16">
      <c r="A260">
        <v>100353</v>
      </c>
      <c r="B260" s="4">
        <v>45019</v>
      </c>
      <c r="C260" t="s">
        <v>869</v>
      </c>
      <c r="D260" t="s">
        <v>70</v>
      </c>
      <c r="E260" t="s">
        <v>25</v>
      </c>
      <c r="F260" t="s">
        <v>1241</v>
      </c>
      <c r="G260" t="s">
        <v>31</v>
      </c>
      <c r="H260">
        <v>3</v>
      </c>
      <c r="I260">
        <v>148.06</v>
      </c>
      <c r="J260">
        <v>20</v>
      </c>
      <c r="K260">
        <v>355.34</v>
      </c>
      <c r="L260">
        <v>76.69</v>
      </c>
      <c r="M260">
        <v>230.07</v>
      </c>
      <c r="N260">
        <v>23</v>
      </c>
      <c r="O260" t="s">
        <v>26</v>
      </c>
      <c r="P260" t="s">
        <v>51</v>
      </c>
    </row>
    <row r="261" spans="1:16">
      <c r="A261">
        <v>101169</v>
      </c>
      <c r="B261" s="4">
        <v>45919</v>
      </c>
      <c r="C261" t="s">
        <v>312</v>
      </c>
      <c r="D261" t="s">
        <v>39</v>
      </c>
      <c r="E261" t="s">
        <v>25</v>
      </c>
      <c r="F261" t="s">
        <v>1237</v>
      </c>
      <c r="G261" t="s">
        <v>31</v>
      </c>
      <c r="H261">
        <v>4</v>
      </c>
      <c r="I261">
        <v>198.5</v>
      </c>
      <c r="J261">
        <v>5</v>
      </c>
      <c r="K261">
        <v>754.3</v>
      </c>
      <c r="L261">
        <v>256.14999999999998</v>
      </c>
      <c r="M261">
        <v>1024.5999999999999</v>
      </c>
      <c r="N261">
        <v>21</v>
      </c>
      <c r="O261" t="s">
        <v>26</v>
      </c>
      <c r="P261" t="s">
        <v>20</v>
      </c>
    </row>
    <row r="262" spans="1:16">
      <c r="A262">
        <v>100486</v>
      </c>
      <c r="B262" s="4">
        <v>45700</v>
      </c>
      <c r="C262" t="s">
        <v>313</v>
      </c>
      <c r="D262" t="s">
        <v>73</v>
      </c>
      <c r="E262" t="s">
        <v>25</v>
      </c>
      <c r="F262" t="s">
        <v>1237</v>
      </c>
      <c r="G262" t="s">
        <v>31</v>
      </c>
      <c r="H262">
        <v>1</v>
      </c>
      <c r="I262">
        <v>36.39</v>
      </c>
      <c r="J262">
        <v>5</v>
      </c>
      <c r="K262">
        <v>34.57</v>
      </c>
      <c r="L262">
        <v>10.45</v>
      </c>
      <c r="M262">
        <v>10.45</v>
      </c>
      <c r="N262">
        <v>25</v>
      </c>
      <c r="O262" t="s">
        <v>26</v>
      </c>
      <c r="P262" t="s">
        <v>46</v>
      </c>
    </row>
    <row r="263" spans="1:16">
      <c r="A263">
        <v>100352</v>
      </c>
      <c r="B263" s="4">
        <v>45503</v>
      </c>
      <c r="C263" t="s">
        <v>314</v>
      </c>
      <c r="D263" t="s">
        <v>73</v>
      </c>
      <c r="E263" t="s">
        <v>25</v>
      </c>
      <c r="F263" t="s">
        <v>1237</v>
      </c>
      <c r="G263" t="s">
        <v>64</v>
      </c>
      <c r="H263">
        <v>3</v>
      </c>
      <c r="I263">
        <v>31.9</v>
      </c>
      <c r="J263">
        <v>0</v>
      </c>
      <c r="K263">
        <v>95.7</v>
      </c>
      <c r="L263">
        <v>27.68</v>
      </c>
      <c r="M263">
        <v>83.039999999999992</v>
      </c>
      <c r="N263">
        <v>30</v>
      </c>
      <c r="O263" t="s">
        <v>26</v>
      </c>
      <c r="P263" t="s">
        <v>35</v>
      </c>
    </row>
    <row r="264" spans="1:16">
      <c r="A264">
        <v>100799</v>
      </c>
      <c r="B264" s="4">
        <v>45143</v>
      </c>
      <c r="C264" t="s">
        <v>868</v>
      </c>
      <c r="D264" t="s">
        <v>70</v>
      </c>
      <c r="E264" t="s">
        <v>25</v>
      </c>
      <c r="F264" t="s">
        <v>1241</v>
      </c>
      <c r="G264" t="s">
        <v>31</v>
      </c>
      <c r="H264">
        <v>3</v>
      </c>
      <c r="I264">
        <v>142.84</v>
      </c>
      <c r="J264">
        <v>0</v>
      </c>
      <c r="K264">
        <v>428.52</v>
      </c>
      <c r="L264">
        <v>125.72</v>
      </c>
      <c r="M264">
        <v>377.15999999999997</v>
      </c>
      <c r="N264">
        <v>25</v>
      </c>
      <c r="O264" t="s">
        <v>19</v>
      </c>
      <c r="P264" t="s">
        <v>32</v>
      </c>
    </row>
    <row r="265" spans="1:16">
      <c r="A265">
        <v>100617</v>
      </c>
      <c r="B265" s="4">
        <v>45132</v>
      </c>
      <c r="C265" t="s">
        <v>316</v>
      </c>
      <c r="D265" t="s">
        <v>73</v>
      </c>
      <c r="E265" t="s">
        <v>25</v>
      </c>
      <c r="F265" t="s">
        <v>1238</v>
      </c>
      <c r="G265" t="s">
        <v>31</v>
      </c>
      <c r="H265">
        <v>4</v>
      </c>
      <c r="I265">
        <v>30.43</v>
      </c>
      <c r="J265">
        <v>5</v>
      </c>
      <c r="K265">
        <v>115.63</v>
      </c>
      <c r="L265">
        <v>29.39</v>
      </c>
      <c r="M265">
        <v>117.56</v>
      </c>
      <c r="N265">
        <v>32</v>
      </c>
      <c r="O265" t="s">
        <v>19</v>
      </c>
      <c r="P265" t="s">
        <v>20</v>
      </c>
    </row>
    <row r="266" spans="1:16">
      <c r="A266">
        <v>100664</v>
      </c>
      <c r="B266" s="4">
        <v>45574</v>
      </c>
      <c r="C266" t="s">
        <v>865</v>
      </c>
      <c r="D266" t="s">
        <v>24</v>
      </c>
      <c r="E266" t="s">
        <v>25</v>
      </c>
      <c r="F266" t="s">
        <v>1239</v>
      </c>
      <c r="G266" t="s">
        <v>18</v>
      </c>
      <c r="H266">
        <v>1</v>
      </c>
      <c r="I266">
        <v>102.55</v>
      </c>
      <c r="J266">
        <v>5</v>
      </c>
      <c r="K266">
        <v>97.42</v>
      </c>
      <c r="L266">
        <v>24.8</v>
      </c>
      <c r="M266">
        <v>24.8</v>
      </c>
      <c r="N266">
        <v>35</v>
      </c>
      <c r="O266" t="s">
        <v>19</v>
      </c>
      <c r="P266" t="s">
        <v>20</v>
      </c>
    </row>
    <row r="267" spans="1:16">
      <c r="A267">
        <v>100774</v>
      </c>
      <c r="B267" s="4">
        <v>45207</v>
      </c>
      <c r="C267" t="s">
        <v>318</v>
      </c>
      <c r="D267" t="s">
        <v>24</v>
      </c>
      <c r="E267" t="s">
        <v>25</v>
      </c>
      <c r="F267" t="s">
        <v>1240</v>
      </c>
      <c r="G267" t="s">
        <v>31</v>
      </c>
      <c r="H267">
        <v>6</v>
      </c>
      <c r="I267">
        <v>95.51</v>
      </c>
      <c r="J267">
        <v>0</v>
      </c>
      <c r="K267">
        <v>573.05999999999995</v>
      </c>
      <c r="L267">
        <v>94.18</v>
      </c>
      <c r="M267">
        <v>565.08000000000004</v>
      </c>
      <c r="N267">
        <v>16</v>
      </c>
      <c r="O267" t="s">
        <v>26</v>
      </c>
      <c r="P267" t="s">
        <v>43</v>
      </c>
    </row>
    <row r="268" spans="1:16">
      <c r="A268">
        <v>100574</v>
      </c>
      <c r="B268" s="4">
        <v>45329</v>
      </c>
      <c r="C268" t="s">
        <v>863</v>
      </c>
      <c r="D268" t="s">
        <v>42</v>
      </c>
      <c r="E268" t="s">
        <v>25</v>
      </c>
      <c r="F268" t="s">
        <v>1237</v>
      </c>
      <c r="G268" t="s">
        <v>18</v>
      </c>
      <c r="H268">
        <v>2</v>
      </c>
      <c r="I268">
        <v>169.92</v>
      </c>
      <c r="J268">
        <v>10</v>
      </c>
      <c r="K268">
        <v>305.86</v>
      </c>
      <c r="L268">
        <v>100.22</v>
      </c>
      <c r="M268">
        <v>200.44</v>
      </c>
      <c r="N268">
        <v>39</v>
      </c>
      <c r="O268" t="s">
        <v>26</v>
      </c>
      <c r="P268" t="s">
        <v>20</v>
      </c>
    </row>
    <row r="269" spans="1:16">
      <c r="A269">
        <v>101062</v>
      </c>
      <c r="B269" s="4">
        <v>45100</v>
      </c>
      <c r="C269" t="s">
        <v>862</v>
      </c>
      <c r="D269" t="s">
        <v>87</v>
      </c>
      <c r="E269" t="s">
        <v>25</v>
      </c>
      <c r="F269" t="s">
        <v>1240</v>
      </c>
      <c r="G269" t="s">
        <v>18</v>
      </c>
      <c r="H269">
        <v>5</v>
      </c>
      <c r="I269">
        <v>77.63</v>
      </c>
      <c r="J269">
        <v>20</v>
      </c>
      <c r="K269">
        <v>310.52</v>
      </c>
      <c r="L269">
        <v>95.06</v>
      </c>
      <c r="M269">
        <v>475.3</v>
      </c>
      <c r="N269">
        <v>21</v>
      </c>
      <c r="O269" t="s">
        <v>26</v>
      </c>
      <c r="P269" t="s">
        <v>43</v>
      </c>
    </row>
    <row r="270" spans="1:16">
      <c r="A270">
        <v>100691</v>
      </c>
      <c r="B270" s="4">
        <v>45173</v>
      </c>
      <c r="C270" t="s">
        <v>855</v>
      </c>
      <c r="D270" t="s">
        <v>24</v>
      </c>
      <c r="E270" t="s">
        <v>25</v>
      </c>
      <c r="F270" t="s">
        <v>1241</v>
      </c>
      <c r="G270" t="s">
        <v>31</v>
      </c>
      <c r="H270">
        <v>2</v>
      </c>
      <c r="I270">
        <v>105.28</v>
      </c>
      <c r="J270">
        <v>0</v>
      </c>
      <c r="K270">
        <v>210.56</v>
      </c>
      <c r="L270">
        <v>67.63</v>
      </c>
      <c r="M270">
        <v>135.26</v>
      </c>
      <c r="N270">
        <v>30</v>
      </c>
      <c r="O270" t="s">
        <v>19</v>
      </c>
      <c r="P270" t="s">
        <v>35</v>
      </c>
    </row>
    <row r="271" spans="1:16">
      <c r="A271">
        <v>100846</v>
      </c>
      <c r="B271" s="4">
        <v>45638</v>
      </c>
      <c r="C271" t="s">
        <v>854</v>
      </c>
      <c r="D271" t="s">
        <v>73</v>
      </c>
      <c r="E271" t="s">
        <v>25</v>
      </c>
      <c r="F271" t="s">
        <v>1241</v>
      </c>
      <c r="G271" t="s">
        <v>18</v>
      </c>
      <c r="H271">
        <v>2</v>
      </c>
      <c r="I271">
        <v>32.4</v>
      </c>
      <c r="J271">
        <v>5</v>
      </c>
      <c r="K271">
        <v>61.56</v>
      </c>
      <c r="L271">
        <v>16.649999999999999</v>
      </c>
      <c r="M271">
        <v>33.299999999999997</v>
      </c>
      <c r="N271">
        <v>40</v>
      </c>
      <c r="O271" t="s">
        <v>19</v>
      </c>
      <c r="P271" t="s">
        <v>27</v>
      </c>
    </row>
    <row r="272" spans="1:16">
      <c r="A272">
        <v>100971</v>
      </c>
      <c r="B272" s="4">
        <v>44953</v>
      </c>
      <c r="C272" t="s">
        <v>852</v>
      </c>
      <c r="D272" t="s">
        <v>100</v>
      </c>
      <c r="E272" t="s">
        <v>25</v>
      </c>
      <c r="F272" t="s">
        <v>1238</v>
      </c>
      <c r="G272" t="s">
        <v>64</v>
      </c>
      <c r="H272">
        <v>3</v>
      </c>
      <c r="I272">
        <v>125.36</v>
      </c>
      <c r="J272">
        <v>10</v>
      </c>
      <c r="K272">
        <v>338.47</v>
      </c>
      <c r="L272">
        <v>118.32</v>
      </c>
      <c r="M272">
        <v>354.96</v>
      </c>
      <c r="N272">
        <v>31</v>
      </c>
      <c r="O272" t="s">
        <v>19</v>
      </c>
      <c r="P272" t="s">
        <v>51</v>
      </c>
    </row>
    <row r="273" spans="1:16">
      <c r="A273">
        <v>100443</v>
      </c>
      <c r="B273" s="4">
        <v>45313</v>
      </c>
      <c r="C273" t="s">
        <v>851</v>
      </c>
      <c r="D273" t="s">
        <v>70</v>
      </c>
      <c r="E273" t="s">
        <v>25</v>
      </c>
      <c r="F273" t="s">
        <v>1237</v>
      </c>
      <c r="G273" t="s">
        <v>18</v>
      </c>
      <c r="H273">
        <v>3</v>
      </c>
      <c r="I273">
        <v>131.82</v>
      </c>
      <c r="J273">
        <v>5</v>
      </c>
      <c r="K273">
        <v>375.69</v>
      </c>
      <c r="L273">
        <v>102.64</v>
      </c>
      <c r="M273">
        <v>307.92</v>
      </c>
      <c r="N273">
        <v>16</v>
      </c>
      <c r="O273" t="s">
        <v>19</v>
      </c>
      <c r="P273" t="s">
        <v>20</v>
      </c>
    </row>
    <row r="274" spans="1:16">
      <c r="A274">
        <v>100634</v>
      </c>
      <c r="B274" s="4">
        <v>45813</v>
      </c>
      <c r="C274" t="s">
        <v>325</v>
      </c>
      <c r="D274" t="s">
        <v>39</v>
      </c>
      <c r="E274" t="s">
        <v>25</v>
      </c>
      <c r="F274" t="s">
        <v>1237</v>
      </c>
      <c r="G274" t="s">
        <v>18</v>
      </c>
      <c r="H274">
        <v>1</v>
      </c>
      <c r="I274">
        <v>208.4</v>
      </c>
      <c r="J274">
        <v>20</v>
      </c>
      <c r="K274">
        <v>166.72</v>
      </c>
      <c r="L274">
        <v>38.46</v>
      </c>
      <c r="M274">
        <v>38.46</v>
      </c>
      <c r="N274">
        <v>39</v>
      </c>
      <c r="O274" t="s">
        <v>26</v>
      </c>
      <c r="P274" t="s">
        <v>32</v>
      </c>
    </row>
    <row r="275" spans="1:16">
      <c r="A275">
        <v>101092</v>
      </c>
      <c r="B275" s="4">
        <v>45889</v>
      </c>
      <c r="C275" t="s">
        <v>850</v>
      </c>
      <c r="D275" t="s">
        <v>87</v>
      </c>
      <c r="E275" t="s">
        <v>25</v>
      </c>
      <c r="F275" t="s">
        <v>1238</v>
      </c>
      <c r="G275" t="s">
        <v>18</v>
      </c>
      <c r="H275">
        <v>1</v>
      </c>
      <c r="I275">
        <v>73</v>
      </c>
      <c r="J275">
        <v>0</v>
      </c>
      <c r="K275">
        <v>73</v>
      </c>
      <c r="L275">
        <v>22.96</v>
      </c>
      <c r="M275">
        <v>22.96</v>
      </c>
      <c r="N275">
        <v>21</v>
      </c>
      <c r="O275" t="s">
        <v>26</v>
      </c>
      <c r="P275" t="s">
        <v>32</v>
      </c>
    </row>
    <row r="276" spans="1:16">
      <c r="A276">
        <v>100004</v>
      </c>
      <c r="B276" s="4">
        <v>45476</v>
      </c>
      <c r="C276" t="s">
        <v>845</v>
      </c>
      <c r="D276" t="s">
        <v>87</v>
      </c>
      <c r="E276" t="s">
        <v>25</v>
      </c>
      <c r="F276" t="s">
        <v>1238</v>
      </c>
      <c r="G276" t="s">
        <v>31</v>
      </c>
      <c r="H276">
        <v>2</v>
      </c>
      <c r="I276">
        <v>85.46</v>
      </c>
      <c r="J276">
        <v>0</v>
      </c>
      <c r="K276">
        <v>170.92</v>
      </c>
      <c r="L276">
        <v>39.1</v>
      </c>
      <c r="M276">
        <v>78.2</v>
      </c>
      <c r="N276">
        <v>20</v>
      </c>
      <c r="O276" t="s">
        <v>19</v>
      </c>
      <c r="P276" t="s">
        <v>43</v>
      </c>
    </row>
    <row r="277" spans="1:16">
      <c r="A277">
        <v>100039</v>
      </c>
      <c r="B277" s="4">
        <v>45200</v>
      </c>
      <c r="C277" t="s">
        <v>328</v>
      </c>
      <c r="D277" t="s">
        <v>42</v>
      </c>
      <c r="E277" t="s">
        <v>25</v>
      </c>
      <c r="F277" t="s">
        <v>1241</v>
      </c>
      <c r="G277" t="s">
        <v>48</v>
      </c>
      <c r="H277">
        <v>3</v>
      </c>
      <c r="I277">
        <v>168.34</v>
      </c>
      <c r="J277">
        <v>0</v>
      </c>
      <c r="K277">
        <v>505.02</v>
      </c>
      <c r="L277">
        <v>155.66999999999999</v>
      </c>
      <c r="M277">
        <v>467.01</v>
      </c>
      <c r="N277">
        <v>23</v>
      </c>
      <c r="O277" t="s">
        <v>19</v>
      </c>
      <c r="P277" t="s">
        <v>51</v>
      </c>
    </row>
    <row r="278" spans="1:16">
      <c r="A278">
        <v>100030</v>
      </c>
      <c r="B278" s="4">
        <v>45332</v>
      </c>
      <c r="C278" t="s">
        <v>329</v>
      </c>
      <c r="D278" t="s">
        <v>68</v>
      </c>
      <c r="E278" t="s">
        <v>25</v>
      </c>
      <c r="F278" t="s">
        <v>1241</v>
      </c>
      <c r="G278" t="s">
        <v>18</v>
      </c>
      <c r="H278">
        <v>3</v>
      </c>
      <c r="I278">
        <v>252.84</v>
      </c>
      <c r="J278">
        <v>0</v>
      </c>
      <c r="K278">
        <v>758.52</v>
      </c>
      <c r="L278">
        <v>245.53</v>
      </c>
      <c r="M278">
        <v>736.59</v>
      </c>
      <c r="N278">
        <v>23</v>
      </c>
      <c r="O278" t="s">
        <v>19</v>
      </c>
      <c r="P278" t="s">
        <v>27</v>
      </c>
    </row>
    <row r="279" spans="1:16">
      <c r="A279">
        <v>100242</v>
      </c>
      <c r="B279" s="4">
        <v>45208</v>
      </c>
      <c r="C279" t="s">
        <v>330</v>
      </c>
      <c r="D279" t="s">
        <v>70</v>
      </c>
      <c r="E279" t="s">
        <v>25</v>
      </c>
      <c r="F279" t="s">
        <v>1237</v>
      </c>
      <c r="G279" t="s">
        <v>31</v>
      </c>
      <c r="H279">
        <v>3</v>
      </c>
      <c r="I279">
        <v>164.56</v>
      </c>
      <c r="J279">
        <v>0</v>
      </c>
      <c r="K279">
        <v>493.68</v>
      </c>
      <c r="L279">
        <v>151.6</v>
      </c>
      <c r="M279">
        <v>454.79999999999995</v>
      </c>
      <c r="N279">
        <v>25</v>
      </c>
      <c r="O279" t="s">
        <v>26</v>
      </c>
      <c r="P279" t="s">
        <v>32</v>
      </c>
    </row>
    <row r="280" spans="1:16">
      <c r="A280">
        <v>100428</v>
      </c>
      <c r="B280" s="4">
        <v>45645</v>
      </c>
      <c r="C280" t="s">
        <v>331</v>
      </c>
      <c r="D280" t="s">
        <v>87</v>
      </c>
      <c r="E280" t="s">
        <v>25</v>
      </c>
      <c r="F280" t="s">
        <v>1241</v>
      </c>
      <c r="G280" t="s">
        <v>18</v>
      </c>
      <c r="H280">
        <v>3</v>
      </c>
      <c r="I280">
        <v>80.41</v>
      </c>
      <c r="J280">
        <v>10</v>
      </c>
      <c r="K280">
        <v>217.11</v>
      </c>
      <c r="L280">
        <v>65.5</v>
      </c>
      <c r="M280">
        <v>196.5</v>
      </c>
      <c r="N280">
        <v>21</v>
      </c>
      <c r="O280" t="s">
        <v>19</v>
      </c>
      <c r="P280" t="s">
        <v>32</v>
      </c>
    </row>
    <row r="281" spans="1:16">
      <c r="A281">
        <v>100136</v>
      </c>
      <c r="B281" s="4">
        <v>45072</v>
      </c>
      <c r="C281" t="s">
        <v>332</v>
      </c>
      <c r="D281" t="s">
        <v>39</v>
      </c>
      <c r="E281" t="s">
        <v>25</v>
      </c>
      <c r="F281" t="s">
        <v>1238</v>
      </c>
      <c r="G281" t="s">
        <v>18</v>
      </c>
      <c r="H281">
        <v>2</v>
      </c>
      <c r="I281">
        <v>181.64</v>
      </c>
      <c r="J281">
        <v>10</v>
      </c>
      <c r="K281">
        <v>326.95</v>
      </c>
      <c r="L281">
        <v>100.54</v>
      </c>
      <c r="M281">
        <v>201.08</v>
      </c>
      <c r="N281">
        <v>32</v>
      </c>
      <c r="O281" t="s">
        <v>26</v>
      </c>
      <c r="P281" t="s">
        <v>35</v>
      </c>
    </row>
    <row r="282" spans="1:16">
      <c r="A282">
        <v>101100</v>
      </c>
      <c r="B282" s="4">
        <v>45185</v>
      </c>
      <c r="C282" t="s">
        <v>147</v>
      </c>
      <c r="D282" t="s">
        <v>42</v>
      </c>
      <c r="E282" t="s">
        <v>25</v>
      </c>
      <c r="F282" t="s">
        <v>1241</v>
      </c>
      <c r="G282" t="s">
        <v>18</v>
      </c>
      <c r="H282">
        <v>1</v>
      </c>
      <c r="I282">
        <v>150.4</v>
      </c>
      <c r="J282">
        <v>10</v>
      </c>
      <c r="K282">
        <v>135.36000000000001</v>
      </c>
      <c r="L282">
        <v>34.33</v>
      </c>
      <c r="M282">
        <v>34.33</v>
      </c>
      <c r="N282">
        <v>24</v>
      </c>
      <c r="O282" t="s">
        <v>26</v>
      </c>
      <c r="P282" t="s">
        <v>46</v>
      </c>
    </row>
    <row r="283" spans="1:16">
      <c r="A283">
        <v>100102</v>
      </c>
      <c r="B283" s="4">
        <v>45705</v>
      </c>
      <c r="C283" t="s">
        <v>844</v>
      </c>
      <c r="D283" t="s">
        <v>87</v>
      </c>
      <c r="E283" t="s">
        <v>25</v>
      </c>
      <c r="F283" t="s">
        <v>1237</v>
      </c>
      <c r="G283" t="s">
        <v>48</v>
      </c>
      <c r="H283">
        <v>2</v>
      </c>
      <c r="I283">
        <v>79.81</v>
      </c>
      <c r="J283">
        <v>5</v>
      </c>
      <c r="K283">
        <v>151.63999999999999</v>
      </c>
      <c r="L283">
        <v>31.81</v>
      </c>
      <c r="M283">
        <v>63.62</v>
      </c>
      <c r="N283">
        <v>32</v>
      </c>
      <c r="O283" t="s">
        <v>26</v>
      </c>
      <c r="P283" t="s">
        <v>81</v>
      </c>
    </row>
    <row r="284" spans="1:16">
      <c r="A284">
        <v>100655</v>
      </c>
      <c r="B284" s="4">
        <v>45900</v>
      </c>
      <c r="C284" t="s">
        <v>839</v>
      </c>
      <c r="D284" t="s">
        <v>100</v>
      </c>
      <c r="E284" t="s">
        <v>25</v>
      </c>
      <c r="F284" t="s">
        <v>1237</v>
      </c>
      <c r="G284" t="s">
        <v>18</v>
      </c>
      <c r="H284">
        <v>6</v>
      </c>
      <c r="I284">
        <v>116.35</v>
      </c>
      <c r="J284">
        <v>0</v>
      </c>
      <c r="K284">
        <v>698.1</v>
      </c>
      <c r="L284">
        <v>156.12</v>
      </c>
      <c r="M284">
        <v>936.72</v>
      </c>
      <c r="N284">
        <v>16</v>
      </c>
      <c r="O284" t="s">
        <v>19</v>
      </c>
      <c r="P284" t="s">
        <v>35</v>
      </c>
    </row>
    <row r="285" spans="1:16">
      <c r="A285">
        <v>100832</v>
      </c>
      <c r="B285" s="4">
        <v>45076</v>
      </c>
      <c r="C285" t="s">
        <v>335</v>
      </c>
      <c r="D285" t="s">
        <v>39</v>
      </c>
      <c r="E285" t="s">
        <v>25</v>
      </c>
      <c r="F285" t="s">
        <v>1238</v>
      </c>
      <c r="G285" t="s">
        <v>18</v>
      </c>
      <c r="H285">
        <v>3</v>
      </c>
      <c r="I285">
        <v>176.94</v>
      </c>
      <c r="J285">
        <v>0</v>
      </c>
      <c r="K285">
        <v>530.82000000000005</v>
      </c>
      <c r="L285">
        <v>190.54</v>
      </c>
      <c r="M285">
        <v>571.62</v>
      </c>
      <c r="N285">
        <v>33</v>
      </c>
      <c r="O285" t="s">
        <v>26</v>
      </c>
      <c r="P285" t="s">
        <v>32</v>
      </c>
    </row>
    <row r="286" spans="1:16">
      <c r="A286">
        <v>100105</v>
      </c>
      <c r="B286" s="4">
        <v>45188</v>
      </c>
      <c r="C286" t="s">
        <v>835</v>
      </c>
      <c r="D286" t="s">
        <v>39</v>
      </c>
      <c r="E286" t="s">
        <v>25</v>
      </c>
      <c r="F286" t="s">
        <v>1238</v>
      </c>
      <c r="G286" t="s">
        <v>18</v>
      </c>
      <c r="H286">
        <v>3</v>
      </c>
      <c r="I286">
        <v>171.69</v>
      </c>
      <c r="J286">
        <v>0</v>
      </c>
      <c r="K286">
        <v>515.07000000000005</v>
      </c>
      <c r="L286">
        <v>135.88999999999999</v>
      </c>
      <c r="M286">
        <v>407.66999999999996</v>
      </c>
      <c r="N286">
        <v>49</v>
      </c>
      <c r="O286" t="s">
        <v>26</v>
      </c>
      <c r="P286" t="s">
        <v>27</v>
      </c>
    </row>
    <row r="287" spans="1:16">
      <c r="A287">
        <v>100921</v>
      </c>
      <c r="B287" s="4">
        <v>45325</v>
      </c>
      <c r="C287" t="s">
        <v>834</v>
      </c>
      <c r="D287" t="s">
        <v>73</v>
      </c>
      <c r="E287" t="s">
        <v>25</v>
      </c>
      <c r="F287" t="s">
        <v>1241</v>
      </c>
      <c r="G287" t="s">
        <v>18</v>
      </c>
      <c r="H287">
        <v>3</v>
      </c>
      <c r="I287">
        <v>29.79</v>
      </c>
      <c r="J287">
        <v>10</v>
      </c>
      <c r="K287">
        <v>80.430000000000007</v>
      </c>
      <c r="L287">
        <v>28.4</v>
      </c>
      <c r="M287">
        <v>85.199999999999989</v>
      </c>
      <c r="N287">
        <v>26</v>
      </c>
      <c r="O287" t="s">
        <v>19</v>
      </c>
      <c r="P287" t="s">
        <v>46</v>
      </c>
    </row>
    <row r="288" spans="1:16">
      <c r="A288">
        <v>100902</v>
      </c>
      <c r="B288" s="4">
        <v>45820</v>
      </c>
      <c r="C288" t="s">
        <v>833</v>
      </c>
      <c r="D288" t="s">
        <v>68</v>
      </c>
      <c r="E288" t="s">
        <v>25</v>
      </c>
      <c r="F288" t="s">
        <v>1240</v>
      </c>
      <c r="G288" t="s">
        <v>48</v>
      </c>
      <c r="H288">
        <v>3</v>
      </c>
      <c r="I288">
        <v>221.49</v>
      </c>
      <c r="J288">
        <v>0</v>
      </c>
      <c r="K288">
        <v>664.47</v>
      </c>
      <c r="L288">
        <v>225.85</v>
      </c>
      <c r="M288">
        <v>677.55</v>
      </c>
      <c r="N288">
        <v>26</v>
      </c>
      <c r="O288" t="s">
        <v>26</v>
      </c>
      <c r="P288" t="s">
        <v>27</v>
      </c>
    </row>
    <row r="289" spans="1:16">
      <c r="A289">
        <v>100843</v>
      </c>
      <c r="B289" s="4">
        <v>45010</v>
      </c>
      <c r="C289" t="s">
        <v>339</v>
      </c>
      <c r="D289" t="s">
        <v>24</v>
      </c>
      <c r="E289" t="s">
        <v>25</v>
      </c>
      <c r="F289" t="s">
        <v>1239</v>
      </c>
      <c r="G289" t="s">
        <v>31</v>
      </c>
      <c r="H289">
        <v>2</v>
      </c>
      <c r="I289">
        <v>94.66</v>
      </c>
      <c r="J289">
        <v>10</v>
      </c>
      <c r="K289">
        <v>170.39</v>
      </c>
      <c r="L289">
        <v>58.52</v>
      </c>
      <c r="M289">
        <v>117.04</v>
      </c>
      <c r="N289">
        <v>16</v>
      </c>
      <c r="O289" t="s">
        <v>26</v>
      </c>
      <c r="P289" t="s">
        <v>43</v>
      </c>
    </row>
    <row r="290" spans="1:16">
      <c r="A290">
        <v>100656</v>
      </c>
      <c r="B290" s="4">
        <v>45844</v>
      </c>
      <c r="C290" t="s">
        <v>832</v>
      </c>
      <c r="D290" t="s">
        <v>87</v>
      </c>
      <c r="E290" t="s">
        <v>25</v>
      </c>
      <c r="F290" t="s">
        <v>1241</v>
      </c>
      <c r="G290" t="s">
        <v>31</v>
      </c>
      <c r="H290">
        <v>5</v>
      </c>
      <c r="I290">
        <v>80.94</v>
      </c>
      <c r="J290">
        <v>0</v>
      </c>
      <c r="K290">
        <v>404.7</v>
      </c>
      <c r="L290">
        <v>143.22</v>
      </c>
      <c r="M290">
        <v>716.1</v>
      </c>
      <c r="N290">
        <v>23</v>
      </c>
      <c r="O290" t="s">
        <v>19</v>
      </c>
      <c r="P290" t="s">
        <v>46</v>
      </c>
    </row>
    <row r="291" spans="1:16">
      <c r="A291">
        <v>100970</v>
      </c>
      <c r="B291" s="4">
        <v>45314</v>
      </c>
      <c r="C291" t="s">
        <v>831</v>
      </c>
      <c r="D291" t="s">
        <v>100</v>
      </c>
      <c r="E291" t="s">
        <v>25</v>
      </c>
      <c r="F291" t="s">
        <v>1238</v>
      </c>
      <c r="G291" t="s">
        <v>18</v>
      </c>
      <c r="H291">
        <v>2</v>
      </c>
      <c r="I291">
        <v>116.46</v>
      </c>
      <c r="J291">
        <v>10</v>
      </c>
      <c r="K291">
        <v>209.63</v>
      </c>
      <c r="L291">
        <v>43.47</v>
      </c>
      <c r="M291">
        <v>86.94</v>
      </c>
      <c r="N291">
        <v>31</v>
      </c>
      <c r="O291" t="s">
        <v>26</v>
      </c>
      <c r="P291" t="s">
        <v>46</v>
      </c>
    </row>
    <row r="292" spans="1:16">
      <c r="A292">
        <v>100442</v>
      </c>
      <c r="B292" s="4">
        <v>45721</v>
      </c>
      <c r="C292" t="s">
        <v>342</v>
      </c>
      <c r="D292" t="s">
        <v>73</v>
      </c>
      <c r="E292" t="s">
        <v>25</v>
      </c>
      <c r="F292" t="s">
        <v>1241</v>
      </c>
      <c r="G292" t="s">
        <v>31</v>
      </c>
      <c r="H292">
        <v>2</v>
      </c>
      <c r="I292">
        <v>35.200000000000003</v>
      </c>
      <c r="J292">
        <v>5</v>
      </c>
      <c r="K292">
        <v>66.88</v>
      </c>
      <c r="L292">
        <v>17.920000000000002</v>
      </c>
      <c r="M292">
        <v>35.840000000000003</v>
      </c>
      <c r="N292">
        <v>39</v>
      </c>
      <c r="O292" t="s">
        <v>26</v>
      </c>
      <c r="P292" t="s">
        <v>35</v>
      </c>
    </row>
    <row r="293" spans="1:16">
      <c r="A293">
        <v>100603</v>
      </c>
      <c r="B293" s="4">
        <v>45431</v>
      </c>
      <c r="C293" t="s">
        <v>829</v>
      </c>
      <c r="D293" t="s">
        <v>42</v>
      </c>
      <c r="E293" t="s">
        <v>25</v>
      </c>
      <c r="F293" t="s">
        <v>1241</v>
      </c>
      <c r="G293" t="s">
        <v>18</v>
      </c>
      <c r="H293">
        <v>3</v>
      </c>
      <c r="I293">
        <v>169.7</v>
      </c>
      <c r="J293">
        <v>0</v>
      </c>
      <c r="K293">
        <v>509.1</v>
      </c>
      <c r="L293">
        <v>180.04</v>
      </c>
      <c r="M293">
        <v>540.12</v>
      </c>
      <c r="N293">
        <v>32</v>
      </c>
      <c r="O293" t="s">
        <v>26</v>
      </c>
      <c r="P293" t="s">
        <v>27</v>
      </c>
    </row>
    <row r="294" spans="1:16">
      <c r="A294">
        <v>100435</v>
      </c>
      <c r="B294" s="4">
        <v>45141</v>
      </c>
      <c r="C294" t="s">
        <v>344</v>
      </c>
      <c r="D294" t="s">
        <v>100</v>
      </c>
      <c r="E294" t="s">
        <v>25</v>
      </c>
      <c r="F294" t="s">
        <v>1237</v>
      </c>
      <c r="G294" t="s">
        <v>64</v>
      </c>
      <c r="H294">
        <v>6</v>
      </c>
      <c r="I294">
        <v>162.34</v>
      </c>
      <c r="J294">
        <v>0</v>
      </c>
      <c r="K294">
        <v>974.04</v>
      </c>
      <c r="L294">
        <v>303.42</v>
      </c>
      <c r="M294">
        <v>1820.52</v>
      </c>
      <c r="N294">
        <v>33</v>
      </c>
      <c r="O294" t="s">
        <v>26</v>
      </c>
      <c r="P294" t="s">
        <v>35</v>
      </c>
    </row>
    <row r="295" spans="1:16">
      <c r="A295">
        <v>100992</v>
      </c>
      <c r="B295" s="4">
        <v>45679</v>
      </c>
      <c r="C295" t="s">
        <v>827</v>
      </c>
      <c r="D295" t="s">
        <v>39</v>
      </c>
      <c r="E295" t="s">
        <v>25</v>
      </c>
      <c r="F295" t="s">
        <v>1239</v>
      </c>
      <c r="G295" t="s">
        <v>18</v>
      </c>
      <c r="H295">
        <v>2</v>
      </c>
      <c r="I295">
        <v>184.09</v>
      </c>
      <c r="J295">
        <v>5</v>
      </c>
      <c r="K295">
        <v>349.77</v>
      </c>
      <c r="L295">
        <v>109.44</v>
      </c>
      <c r="M295">
        <v>218.88</v>
      </c>
      <c r="N295">
        <v>17</v>
      </c>
      <c r="O295" t="s">
        <v>19</v>
      </c>
      <c r="P295" t="s">
        <v>35</v>
      </c>
    </row>
    <row r="296" spans="1:16">
      <c r="A296">
        <v>100100</v>
      </c>
      <c r="B296" s="4">
        <v>45592</v>
      </c>
      <c r="C296" t="s">
        <v>346</v>
      </c>
      <c r="D296" t="s">
        <v>24</v>
      </c>
      <c r="E296" t="s">
        <v>25</v>
      </c>
      <c r="F296" t="s">
        <v>1239</v>
      </c>
      <c r="G296" t="s">
        <v>48</v>
      </c>
      <c r="H296">
        <v>4</v>
      </c>
      <c r="I296">
        <v>97.97</v>
      </c>
      <c r="J296">
        <v>0</v>
      </c>
      <c r="K296">
        <v>391.88</v>
      </c>
      <c r="L296">
        <v>115.9</v>
      </c>
      <c r="M296">
        <v>463.6</v>
      </c>
      <c r="N296">
        <v>34</v>
      </c>
      <c r="O296" t="s">
        <v>26</v>
      </c>
      <c r="P296" t="s">
        <v>43</v>
      </c>
    </row>
    <row r="297" spans="1:16">
      <c r="A297">
        <v>100473</v>
      </c>
      <c r="B297" s="4">
        <v>45162</v>
      </c>
      <c r="C297" t="s">
        <v>825</v>
      </c>
      <c r="D297" t="s">
        <v>24</v>
      </c>
      <c r="E297" t="s">
        <v>25</v>
      </c>
      <c r="F297" t="s">
        <v>1241</v>
      </c>
      <c r="G297" t="s">
        <v>18</v>
      </c>
      <c r="H297">
        <v>6</v>
      </c>
      <c r="I297">
        <v>101.44</v>
      </c>
      <c r="J297">
        <v>0</v>
      </c>
      <c r="K297">
        <v>608.64</v>
      </c>
      <c r="L297">
        <v>152.53</v>
      </c>
      <c r="M297">
        <v>915.18000000000006</v>
      </c>
      <c r="N297">
        <v>34</v>
      </c>
      <c r="O297" t="s">
        <v>26</v>
      </c>
      <c r="P297" t="s">
        <v>27</v>
      </c>
    </row>
    <row r="298" spans="1:16">
      <c r="A298">
        <v>100494</v>
      </c>
      <c r="B298" s="4">
        <v>45681</v>
      </c>
      <c r="C298" t="s">
        <v>348</v>
      </c>
      <c r="D298" t="s">
        <v>24</v>
      </c>
      <c r="E298" t="s">
        <v>25</v>
      </c>
      <c r="F298" t="s">
        <v>1238</v>
      </c>
      <c r="G298" t="s">
        <v>31</v>
      </c>
      <c r="H298">
        <v>2</v>
      </c>
      <c r="I298">
        <v>87.49</v>
      </c>
      <c r="J298">
        <v>0</v>
      </c>
      <c r="K298">
        <v>174.98</v>
      </c>
      <c r="L298">
        <v>60.66</v>
      </c>
      <c r="M298">
        <v>121.32</v>
      </c>
      <c r="N298">
        <v>23</v>
      </c>
      <c r="O298" t="s">
        <v>19</v>
      </c>
      <c r="P298" t="s">
        <v>43</v>
      </c>
    </row>
    <row r="299" spans="1:16">
      <c r="A299">
        <v>100512</v>
      </c>
      <c r="B299" s="4">
        <v>45786</v>
      </c>
      <c r="C299" t="s">
        <v>240</v>
      </c>
      <c r="D299" t="s">
        <v>87</v>
      </c>
      <c r="E299" t="s">
        <v>25</v>
      </c>
      <c r="F299" t="s">
        <v>1238</v>
      </c>
      <c r="G299" t="s">
        <v>18</v>
      </c>
      <c r="H299">
        <v>1</v>
      </c>
      <c r="I299">
        <v>82.72</v>
      </c>
      <c r="J299">
        <v>5</v>
      </c>
      <c r="K299">
        <v>78.58</v>
      </c>
      <c r="L299">
        <v>24.92</v>
      </c>
      <c r="M299">
        <v>24.92</v>
      </c>
      <c r="N299">
        <v>34</v>
      </c>
      <c r="O299" t="s">
        <v>19</v>
      </c>
      <c r="P299" t="s">
        <v>20</v>
      </c>
    </row>
    <row r="300" spans="1:16">
      <c r="A300">
        <v>100750</v>
      </c>
      <c r="B300" s="4">
        <v>45255</v>
      </c>
      <c r="C300" t="s">
        <v>818</v>
      </c>
      <c r="D300" t="s">
        <v>70</v>
      </c>
      <c r="E300" t="s">
        <v>25</v>
      </c>
      <c r="F300" t="s">
        <v>1241</v>
      </c>
      <c r="G300" t="s">
        <v>48</v>
      </c>
      <c r="H300">
        <v>1</v>
      </c>
      <c r="I300">
        <v>168.9</v>
      </c>
      <c r="J300">
        <v>10</v>
      </c>
      <c r="K300">
        <v>152.01</v>
      </c>
      <c r="L300">
        <v>45.82</v>
      </c>
      <c r="M300">
        <v>45.82</v>
      </c>
      <c r="N300">
        <v>22</v>
      </c>
      <c r="O300" t="s">
        <v>26</v>
      </c>
      <c r="P300" t="s">
        <v>81</v>
      </c>
    </row>
    <row r="301" spans="1:16">
      <c r="A301">
        <v>101127</v>
      </c>
      <c r="B301" s="4">
        <v>45044</v>
      </c>
      <c r="C301" t="s">
        <v>817</v>
      </c>
      <c r="D301" t="s">
        <v>73</v>
      </c>
      <c r="E301" t="s">
        <v>25</v>
      </c>
      <c r="F301" t="s">
        <v>1241</v>
      </c>
      <c r="G301" t="s">
        <v>18</v>
      </c>
      <c r="H301">
        <v>6</v>
      </c>
      <c r="I301">
        <v>40.479999999999997</v>
      </c>
      <c r="J301">
        <v>10</v>
      </c>
      <c r="K301">
        <v>218.59</v>
      </c>
      <c r="L301">
        <v>47.7</v>
      </c>
      <c r="M301">
        <v>286.20000000000005</v>
      </c>
      <c r="N301">
        <v>37</v>
      </c>
      <c r="O301" t="s">
        <v>19</v>
      </c>
      <c r="P301" t="s">
        <v>35</v>
      </c>
    </row>
    <row r="302" spans="1:16">
      <c r="A302">
        <v>100637</v>
      </c>
      <c r="B302" s="4">
        <v>45013</v>
      </c>
      <c r="C302" t="s">
        <v>816</v>
      </c>
      <c r="D302" t="s">
        <v>68</v>
      </c>
      <c r="E302" t="s">
        <v>25</v>
      </c>
      <c r="F302" t="s">
        <v>1238</v>
      </c>
      <c r="G302" t="s">
        <v>31</v>
      </c>
      <c r="H302">
        <v>1</v>
      </c>
      <c r="I302">
        <v>205.68</v>
      </c>
      <c r="J302">
        <v>0</v>
      </c>
      <c r="K302">
        <v>205.68</v>
      </c>
      <c r="L302">
        <v>66.19</v>
      </c>
      <c r="M302">
        <v>66.19</v>
      </c>
      <c r="N302">
        <v>16</v>
      </c>
      <c r="O302" t="s">
        <v>19</v>
      </c>
      <c r="P302" t="s">
        <v>32</v>
      </c>
    </row>
    <row r="303" spans="1:16">
      <c r="A303">
        <v>100986</v>
      </c>
      <c r="B303" s="4">
        <v>45441</v>
      </c>
      <c r="C303" t="s">
        <v>353</v>
      </c>
      <c r="D303" t="s">
        <v>87</v>
      </c>
      <c r="E303" t="s">
        <v>25</v>
      </c>
      <c r="F303" t="s">
        <v>1239</v>
      </c>
      <c r="G303" t="s">
        <v>31</v>
      </c>
      <c r="H303">
        <v>1</v>
      </c>
      <c r="I303">
        <v>80.89</v>
      </c>
      <c r="J303">
        <v>40</v>
      </c>
      <c r="K303">
        <v>48.53</v>
      </c>
      <c r="L303">
        <v>16.34</v>
      </c>
      <c r="M303">
        <v>16.34</v>
      </c>
      <c r="N303">
        <v>19</v>
      </c>
      <c r="O303" t="s">
        <v>19</v>
      </c>
      <c r="P303" t="s">
        <v>51</v>
      </c>
    </row>
    <row r="304" spans="1:16">
      <c r="A304">
        <v>100227</v>
      </c>
      <c r="B304" s="4">
        <v>45241</v>
      </c>
      <c r="C304" t="s">
        <v>354</v>
      </c>
      <c r="D304" t="s">
        <v>42</v>
      </c>
      <c r="E304" t="s">
        <v>25</v>
      </c>
      <c r="F304" t="s">
        <v>1238</v>
      </c>
      <c r="G304" t="s">
        <v>48</v>
      </c>
      <c r="H304">
        <v>5</v>
      </c>
      <c r="I304">
        <v>165.64</v>
      </c>
      <c r="J304">
        <v>5</v>
      </c>
      <c r="K304">
        <v>786.79</v>
      </c>
      <c r="L304">
        <v>254.6</v>
      </c>
      <c r="M304">
        <v>1273</v>
      </c>
      <c r="N304">
        <v>31</v>
      </c>
      <c r="O304" t="s">
        <v>19</v>
      </c>
      <c r="P304" t="s">
        <v>20</v>
      </c>
    </row>
    <row r="305" spans="1:16">
      <c r="A305">
        <v>100188</v>
      </c>
      <c r="B305" s="4">
        <v>45051</v>
      </c>
      <c r="C305" t="s">
        <v>33</v>
      </c>
      <c r="D305" t="s">
        <v>73</v>
      </c>
      <c r="E305" t="s">
        <v>25</v>
      </c>
      <c r="F305" t="s">
        <v>1241</v>
      </c>
      <c r="G305" t="s">
        <v>31</v>
      </c>
      <c r="H305">
        <v>1</v>
      </c>
      <c r="I305">
        <v>36.47</v>
      </c>
      <c r="J305">
        <v>0</v>
      </c>
      <c r="K305">
        <v>36.47</v>
      </c>
      <c r="L305">
        <v>14.19</v>
      </c>
      <c r="M305">
        <v>14.19</v>
      </c>
      <c r="N305">
        <v>31</v>
      </c>
      <c r="O305" t="s">
        <v>26</v>
      </c>
      <c r="P305" t="s">
        <v>43</v>
      </c>
    </row>
    <row r="306" spans="1:16">
      <c r="A306">
        <v>100580</v>
      </c>
      <c r="B306" s="4">
        <v>45786</v>
      </c>
      <c r="C306" t="s">
        <v>807</v>
      </c>
      <c r="D306" t="s">
        <v>68</v>
      </c>
      <c r="E306" t="s">
        <v>25</v>
      </c>
      <c r="F306" t="s">
        <v>1237</v>
      </c>
      <c r="G306" t="s">
        <v>48</v>
      </c>
      <c r="H306">
        <v>2</v>
      </c>
      <c r="I306">
        <v>246.33</v>
      </c>
      <c r="J306">
        <v>0</v>
      </c>
      <c r="K306">
        <v>492.66</v>
      </c>
      <c r="L306">
        <v>136.07</v>
      </c>
      <c r="M306">
        <v>272.14</v>
      </c>
      <c r="N306">
        <v>23</v>
      </c>
      <c r="O306" t="s">
        <v>26</v>
      </c>
      <c r="P306" t="s">
        <v>32</v>
      </c>
    </row>
    <row r="307" spans="1:16">
      <c r="A307">
        <v>101042</v>
      </c>
      <c r="B307" s="4">
        <v>44971</v>
      </c>
      <c r="C307" t="s">
        <v>806</v>
      </c>
      <c r="D307" t="s">
        <v>68</v>
      </c>
      <c r="E307" t="s">
        <v>25</v>
      </c>
      <c r="F307" t="s">
        <v>1237</v>
      </c>
      <c r="G307" t="s">
        <v>18</v>
      </c>
      <c r="H307">
        <v>1</v>
      </c>
      <c r="I307">
        <v>224.81</v>
      </c>
      <c r="J307">
        <v>20</v>
      </c>
      <c r="K307">
        <v>179.85</v>
      </c>
      <c r="L307">
        <v>44.98</v>
      </c>
      <c r="M307">
        <v>44.98</v>
      </c>
      <c r="N307">
        <v>20</v>
      </c>
      <c r="O307" t="s">
        <v>19</v>
      </c>
      <c r="P307" t="s">
        <v>43</v>
      </c>
    </row>
    <row r="308" spans="1:16">
      <c r="A308">
        <v>100924</v>
      </c>
      <c r="B308" s="4">
        <v>45516</v>
      </c>
      <c r="C308" t="s">
        <v>358</v>
      </c>
      <c r="D308" t="s">
        <v>70</v>
      </c>
      <c r="E308" t="s">
        <v>25</v>
      </c>
      <c r="F308" t="s">
        <v>1241</v>
      </c>
      <c r="G308" t="s">
        <v>48</v>
      </c>
      <c r="H308">
        <v>2</v>
      </c>
      <c r="I308">
        <v>149.1</v>
      </c>
      <c r="J308">
        <v>0</v>
      </c>
      <c r="K308">
        <v>298.2</v>
      </c>
      <c r="L308">
        <v>76.67</v>
      </c>
      <c r="M308">
        <v>153.34</v>
      </c>
      <c r="N308">
        <v>29</v>
      </c>
      <c r="O308" t="s">
        <v>26</v>
      </c>
      <c r="P308" t="s">
        <v>20</v>
      </c>
    </row>
    <row r="309" spans="1:16">
      <c r="A309">
        <v>100075</v>
      </c>
      <c r="B309" s="4">
        <v>45029</v>
      </c>
      <c r="C309" t="s">
        <v>805</v>
      </c>
      <c r="D309" t="s">
        <v>73</v>
      </c>
      <c r="E309" t="s">
        <v>25</v>
      </c>
      <c r="F309" t="s">
        <v>1238</v>
      </c>
      <c r="G309" t="s">
        <v>18</v>
      </c>
      <c r="H309">
        <v>3</v>
      </c>
      <c r="I309">
        <v>40.130000000000003</v>
      </c>
      <c r="J309">
        <v>5</v>
      </c>
      <c r="K309">
        <v>114.37</v>
      </c>
      <c r="L309">
        <v>33.89</v>
      </c>
      <c r="M309">
        <v>101.67</v>
      </c>
      <c r="N309">
        <v>27</v>
      </c>
      <c r="O309" t="s">
        <v>19</v>
      </c>
      <c r="P309" t="s">
        <v>35</v>
      </c>
    </row>
    <row r="310" spans="1:16">
      <c r="A310">
        <v>100796</v>
      </c>
      <c r="B310" s="4">
        <v>45353</v>
      </c>
      <c r="C310" t="s">
        <v>803</v>
      </c>
      <c r="D310" t="s">
        <v>24</v>
      </c>
      <c r="E310" t="s">
        <v>25</v>
      </c>
      <c r="F310" t="s">
        <v>1238</v>
      </c>
      <c r="G310" t="s">
        <v>18</v>
      </c>
      <c r="H310">
        <v>3</v>
      </c>
      <c r="I310">
        <v>98.75</v>
      </c>
      <c r="J310">
        <v>20</v>
      </c>
      <c r="K310">
        <v>237</v>
      </c>
      <c r="L310">
        <v>70.42</v>
      </c>
      <c r="M310">
        <v>211.26</v>
      </c>
      <c r="N310">
        <v>38</v>
      </c>
      <c r="O310" t="s">
        <v>26</v>
      </c>
      <c r="P310" t="s">
        <v>20</v>
      </c>
    </row>
    <row r="311" spans="1:16">
      <c r="A311">
        <v>100696</v>
      </c>
      <c r="B311" s="4">
        <v>45560</v>
      </c>
      <c r="C311" t="s">
        <v>800</v>
      </c>
      <c r="D311" t="s">
        <v>70</v>
      </c>
      <c r="E311" t="s">
        <v>25</v>
      </c>
      <c r="F311" t="s">
        <v>1241</v>
      </c>
      <c r="G311" t="s">
        <v>31</v>
      </c>
      <c r="H311">
        <v>5</v>
      </c>
      <c r="I311">
        <v>160.76</v>
      </c>
      <c r="J311">
        <v>5</v>
      </c>
      <c r="K311">
        <v>763.61</v>
      </c>
      <c r="L311">
        <v>165.24</v>
      </c>
      <c r="M311">
        <v>826.2</v>
      </c>
      <c r="N311">
        <v>27</v>
      </c>
      <c r="O311" t="s">
        <v>26</v>
      </c>
      <c r="P311" t="s">
        <v>51</v>
      </c>
    </row>
    <row r="312" spans="1:16">
      <c r="A312">
        <v>100211</v>
      </c>
      <c r="B312" s="4">
        <v>45458</v>
      </c>
      <c r="C312" t="s">
        <v>362</v>
      </c>
      <c r="D312" t="s">
        <v>73</v>
      </c>
      <c r="E312" t="s">
        <v>25</v>
      </c>
      <c r="F312" t="s">
        <v>1240</v>
      </c>
      <c r="G312" t="s">
        <v>31</v>
      </c>
      <c r="H312">
        <v>3</v>
      </c>
      <c r="I312">
        <v>40.36</v>
      </c>
      <c r="J312">
        <v>0</v>
      </c>
      <c r="K312">
        <v>121.08</v>
      </c>
      <c r="L312">
        <v>36.14</v>
      </c>
      <c r="M312">
        <v>108.42</v>
      </c>
      <c r="N312">
        <v>46</v>
      </c>
      <c r="O312" t="s">
        <v>26</v>
      </c>
      <c r="P312" t="s">
        <v>35</v>
      </c>
    </row>
    <row r="313" spans="1:16">
      <c r="A313">
        <v>100284</v>
      </c>
      <c r="B313" s="4">
        <v>45393</v>
      </c>
      <c r="C313" t="s">
        <v>799</v>
      </c>
      <c r="D313" t="s">
        <v>73</v>
      </c>
      <c r="E313" t="s">
        <v>25</v>
      </c>
      <c r="F313" t="s">
        <v>1238</v>
      </c>
      <c r="G313" t="s">
        <v>18</v>
      </c>
      <c r="H313">
        <v>4</v>
      </c>
      <c r="I313">
        <v>33.42</v>
      </c>
      <c r="J313">
        <v>0</v>
      </c>
      <c r="K313">
        <v>133.68</v>
      </c>
      <c r="L313">
        <v>41.34</v>
      </c>
      <c r="M313">
        <v>165.36</v>
      </c>
      <c r="N313">
        <v>38</v>
      </c>
      <c r="O313" t="s">
        <v>19</v>
      </c>
      <c r="P313" t="s">
        <v>46</v>
      </c>
    </row>
    <row r="314" spans="1:16">
      <c r="A314">
        <v>100493</v>
      </c>
      <c r="B314" s="4">
        <v>45926</v>
      </c>
      <c r="C314" t="s">
        <v>364</v>
      </c>
      <c r="D314" t="s">
        <v>42</v>
      </c>
      <c r="E314" t="s">
        <v>25</v>
      </c>
      <c r="F314" t="s">
        <v>1241</v>
      </c>
      <c r="G314" t="s">
        <v>18</v>
      </c>
      <c r="H314">
        <v>5</v>
      </c>
      <c r="I314">
        <v>163.98</v>
      </c>
      <c r="J314">
        <v>10</v>
      </c>
      <c r="K314">
        <v>737.91</v>
      </c>
      <c r="L314">
        <v>217.96</v>
      </c>
      <c r="M314">
        <v>1089.8</v>
      </c>
      <c r="N314">
        <v>20</v>
      </c>
      <c r="O314" t="s">
        <v>19</v>
      </c>
      <c r="P314" t="s">
        <v>32</v>
      </c>
    </row>
    <row r="315" spans="1:16">
      <c r="A315">
        <v>100894</v>
      </c>
      <c r="B315" s="4">
        <v>45404</v>
      </c>
      <c r="C315" t="s">
        <v>798</v>
      </c>
      <c r="D315" t="s">
        <v>100</v>
      </c>
      <c r="E315" t="s">
        <v>25</v>
      </c>
      <c r="F315" t="s">
        <v>1238</v>
      </c>
      <c r="G315" t="s">
        <v>31</v>
      </c>
      <c r="H315">
        <v>4</v>
      </c>
      <c r="I315">
        <v>118.61</v>
      </c>
      <c r="J315">
        <v>20</v>
      </c>
      <c r="K315">
        <v>379.55</v>
      </c>
      <c r="L315">
        <v>53.58</v>
      </c>
      <c r="M315">
        <v>214.32</v>
      </c>
      <c r="N315">
        <v>52</v>
      </c>
      <c r="O315" t="s">
        <v>19</v>
      </c>
      <c r="P315" t="s">
        <v>32</v>
      </c>
    </row>
    <row r="316" spans="1:16">
      <c r="A316">
        <v>100299</v>
      </c>
      <c r="B316" s="4">
        <v>45808</v>
      </c>
      <c r="C316" t="s">
        <v>366</v>
      </c>
      <c r="D316" t="s">
        <v>100</v>
      </c>
      <c r="E316" t="s">
        <v>25</v>
      </c>
      <c r="F316" t="s">
        <v>1241</v>
      </c>
      <c r="G316" t="s">
        <v>18</v>
      </c>
      <c r="H316">
        <v>3</v>
      </c>
      <c r="I316">
        <v>129.63</v>
      </c>
      <c r="J316">
        <v>0</v>
      </c>
      <c r="K316">
        <v>388.89</v>
      </c>
      <c r="L316">
        <v>108.37</v>
      </c>
      <c r="M316">
        <v>325.11</v>
      </c>
      <c r="N316">
        <v>25</v>
      </c>
      <c r="O316" t="s">
        <v>26</v>
      </c>
      <c r="P316" t="s">
        <v>51</v>
      </c>
    </row>
    <row r="317" spans="1:16">
      <c r="A317">
        <v>100410</v>
      </c>
      <c r="B317" s="4">
        <v>45216</v>
      </c>
      <c r="C317" t="s">
        <v>367</v>
      </c>
      <c r="D317" t="s">
        <v>87</v>
      </c>
      <c r="E317" t="s">
        <v>25</v>
      </c>
      <c r="F317" t="s">
        <v>1238</v>
      </c>
      <c r="G317" t="s">
        <v>31</v>
      </c>
      <c r="H317">
        <v>3</v>
      </c>
      <c r="I317">
        <v>74.069999999999993</v>
      </c>
      <c r="J317">
        <v>0</v>
      </c>
      <c r="K317">
        <v>222.21</v>
      </c>
      <c r="L317">
        <v>68.72</v>
      </c>
      <c r="M317">
        <v>206.16</v>
      </c>
      <c r="N317">
        <v>36</v>
      </c>
      <c r="O317" t="s">
        <v>19</v>
      </c>
      <c r="P317" t="s">
        <v>51</v>
      </c>
    </row>
    <row r="318" spans="1:16">
      <c r="A318">
        <v>100093</v>
      </c>
      <c r="B318" s="4">
        <v>45157</v>
      </c>
      <c r="C318" t="s">
        <v>795</v>
      </c>
      <c r="D318" t="s">
        <v>87</v>
      </c>
      <c r="E318" t="s">
        <v>25</v>
      </c>
      <c r="F318" t="s">
        <v>1241</v>
      </c>
      <c r="G318" t="s">
        <v>48</v>
      </c>
      <c r="H318">
        <v>2</v>
      </c>
      <c r="I318">
        <v>68.290000000000006</v>
      </c>
      <c r="J318">
        <v>5</v>
      </c>
      <c r="K318">
        <v>129.75</v>
      </c>
      <c r="L318">
        <v>37.71</v>
      </c>
      <c r="M318">
        <v>75.42</v>
      </c>
      <c r="N318">
        <v>29</v>
      </c>
      <c r="O318" t="s">
        <v>26</v>
      </c>
      <c r="P318" t="s">
        <v>20</v>
      </c>
    </row>
    <row r="319" spans="1:16">
      <c r="A319">
        <v>101074</v>
      </c>
      <c r="B319" s="4">
        <v>45301</v>
      </c>
      <c r="C319" t="s">
        <v>369</v>
      </c>
      <c r="D319" t="s">
        <v>68</v>
      </c>
      <c r="E319" t="s">
        <v>25</v>
      </c>
      <c r="F319" t="s">
        <v>1241</v>
      </c>
      <c r="G319" t="s">
        <v>31</v>
      </c>
      <c r="H319">
        <v>3</v>
      </c>
      <c r="I319">
        <v>219.01</v>
      </c>
      <c r="J319">
        <v>10</v>
      </c>
      <c r="K319">
        <v>591.33000000000004</v>
      </c>
      <c r="L319">
        <v>166.09</v>
      </c>
      <c r="M319">
        <v>498.27</v>
      </c>
      <c r="N319">
        <v>34</v>
      </c>
      <c r="O319" t="s">
        <v>19</v>
      </c>
      <c r="P319" t="s">
        <v>35</v>
      </c>
    </row>
    <row r="320" spans="1:16">
      <c r="A320">
        <v>100695</v>
      </c>
      <c r="B320" s="4">
        <v>45680</v>
      </c>
      <c r="C320" t="s">
        <v>370</v>
      </c>
      <c r="D320" t="s">
        <v>70</v>
      </c>
      <c r="E320" t="s">
        <v>25</v>
      </c>
      <c r="F320" t="s">
        <v>1239</v>
      </c>
      <c r="G320" t="s">
        <v>18</v>
      </c>
      <c r="H320">
        <v>3</v>
      </c>
      <c r="I320">
        <v>162.84</v>
      </c>
      <c r="J320">
        <v>0</v>
      </c>
      <c r="K320">
        <v>488.52</v>
      </c>
      <c r="L320">
        <v>148.62</v>
      </c>
      <c r="M320">
        <v>445.86</v>
      </c>
      <c r="N320">
        <v>43</v>
      </c>
      <c r="O320" t="s">
        <v>26</v>
      </c>
      <c r="P320" t="s">
        <v>32</v>
      </c>
    </row>
    <row r="321" spans="1:16">
      <c r="A321">
        <v>100922</v>
      </c>
      <c r="B321" s="4">
        <v>45528</v>
      </c>
      <c r="C321" t="s">
        <v>794</v>
      </c>
      <c r="D321" t="s">
        <v>73</v>
      </c>
      <c r="E321" t="s">
        <v>25</v>
      </c>
      <c r="F321" t="s">
        <v>1237</v>
      </c>
      <c r="G321" t="s">
        <v>18</v>
      </c>
      <c r="H321">
        <v>4</v>
      </c>
      <c r="I321">
        <v>38.78</v>
      </c>
      <c r="J321">
        <v>0</v>
      </c>
      <c r="K321">
        <v>155.12</v>
      </c>
      <c r="L321">
        <v>56.56</v>
      </c>
      <c r="M321">
        <v>226.24</v>
      </c>
      <c r="N321">
        <v>43</v>
      </c>
      <c r="O321" t="s">
        <v>26</v>
      </c>
      <c r="P321" t="s">
        <v>35</v>
      </c>
    </row>
    <row r="322" spans="1:16">
      <c r="A322">
        <v>100723</v>
      </c>
      <c r="B322" s="4">
        <v>45094</v>
      </c>
      <c r="C322" t="s">
        <v>372</v>
      </c>
      <c r="D322" t="s">
        <v>70</v>
      </c>
      <c r="E322" t="s">
        <v>25</v>
      </c>
      <c r="F322" t="s">
        <v>1238</v>
      </c>
      <c r="G322" t="s">
        <v>48</v>
      </c>
      <c r="H322">
        <v>3</v>
      </c>
      <c r="I322">
        <v>147.44</v>
      </c>
      <c r="J322">
        <v>40</v>
      </c>
      <c r="K322">
        <v>265.39</v>
      </c>
      <c r="L322">
        <v>83.86</v>
      </c>
      <c r="M322">
        <v>251.57999999999998</v>
      </c>
      <c r="N322">
        <v>43</v>
      </c>
      <c r="O322" t="s">
        <v>26</v>
      </c>
      <c r="P322" t="s">
        <v>20</v>
      </c>
    </row>
    <row r="323" spans="1:16">
      <c r="A323">
        <v>100905</v>
      </c>
      <c r="B323" s="4">
        <v>45151</v>
      </c>
      <c r="C323" t="s">
        <v>793</v>
      </c>
      <c r="D323" t="s">
        <v>73</v>
      </c>
      <c r="E323" t="s">
        <v>25</v>
      </c>
      <c r="F323" t="s">
        <v>1241</v>
      </c>
      <c r="G323" t="s">
        <v>18</v>
      </c>
      <c r="H323">
        <v>2</v>
      </c>
      <c r="I323">
        <v>33.17</v>
      </c>
      <c r="J323">
        <v>5</v>
      </c>
      <c r="K323">
        <v>63.02</v>
      </c>
      <c r="L323">
        <v>21.07</v>
      </c>
      <c r="M323">
        <v>42.14</v>
      </c>
      <c r="N323">
        <v>28</v>
      </c>
      <c r="O323" t="s">
        <v>26</v>
      </c>
      <c r="P323" t="s">
        <v>32</v>
      </c>
    </row>
    <row r="324" spans="1:16">
      <c r="A324">
        <v>100217</v>
      </c>
      <c r="B324" s="4">
        <v>45038</v>
      </c>
      <c r="C324" t="s">
        <v>791</v>
      </c>
      <c r="D324" t="s">
        <v>100</v>
      </c>
      <c r="E324" t="s">
        <v>25</v>
      </c>
      <c r="F324" t="s">
        <v>1241</v>
      </c>
      <c r="G324" t="s">
        <v>18</v>
      </c>
      <c r="H324">
        <v>2</v>
      </c>
      <c r="I324">
        <v>130.16</v>
      </c>
      <c r="J324">
        <v>0</v>
      </c>
      <c r="K324">
        <v>260.32</v>
      </c>
      <c r="L324">
        <v>98.85</v>
      </c>
      <c r="M324">
        <v>197.7</v>
      </c>
      <c r="N324">
        <v>23</v>
      </c>
      <c r="O324" t="s">
        <v>19</v>
      </c>
      <c r="P324" t="s">
        <v>51</v>
      </c>
    </row>
    <row r="325" spans="1:16">
      <c r="A325">
        <v>100599</v>
      </c>
      <c r="B325" s="4">
        <v>45880</v>
      </c>
      <c r="C325" t="s">
        <v>375</v>
      </c>
      <c r="D325" t="s">
        <v>70</v>
      </c>
      <c r="E325" t="s">
        <v>25</v>
      </c>
      <c r="F325" t="s">
        <v>1241</v>
      </c>
      <c r="G325" t="s">
        <v>18</v>
      </c>
      <c r="H325">
        <v>4</v>
      </c>
      <c r="I325">
        <v>155.11000000000001</v>
      </c>
      <c r="J325">
        <v>10</v>
      </c>
      <c r="K325">
        <v>558.4</v>
      </c>
      <c r="L325">
        <v>140.93</v>
      </c>
      <c r="M325">
        <v>563.72</v>
      </c>
      <c r="N325">
        <v>24</v>
      </c>
      <c r="O325" t="s">
        <v>26</v>
      </c>
      <c r="P325" t="s">
        <v>27</v>
      </c>
    </row>
    <row r="326" spans="1:16">
      <c r="A326">
        <v>100340</v>
      </c>
      <c r="B326" s="4">
        <v>45078</v>
      </c>
      <c r="C326" t="s">
        <v>788</v>
      </c>
      <c r="D326" t="s">
        <v>24</v>
      </c>
      <c r="E326" t="s">
        <v>25</v>
      </c>
      <c r="F326" t="s">
        <v>1240</v>
      </c>
      <c r="G326" t="s">
        <v>18</v>
      </c>
      <c r="H326">
        <v>1</v>
      </c>
      <c r="I326">
        <v>96.62</v>
      </c>
      <c r="J326">
        <v>0</v>
      </c>
      <c r="K326">
        <v>96.62</v>
      </c>
      <c r="L326">
        <v>25.35</v>
      </c>
      <c r="M326">
        <v>25.35</v>
      </c>
      <c r="N326">
        <v>30</v>
      </c>
      <c r="O326" t="s">
        <v>26</v>
      </c>
      <c r="P326" t="s">
        <v>20</v>
      </c>
    </row>
    <row r="327" spans="1:16">
      <c r="A327">
        <v>100566</v>
      </c>
      <c r="B327" s="4">
        <v>45565</v>
      </c>
      <c r="C327" t="s">
        <v>377</v>
      </c>
      <c r="D327" t="s">
        <v>68</v>
      </c>
      <c r="E327" t="s">
        <v>25</v>
      </c>
      <c r="F327" t="s">
        <v>1239</v>
      </c>
      <c r="G327" t="s">
        <v>18</v>
      </c>
      <c r="H327">
        <v>3</v>
      </c>
      <c r="I327">
        <v>211.03</v>
      </c>
      <c r="J327">
        <v>5</v>
      </c>
      <c r="K327">
        <v>601.44000000000005</v>
      </c>
      <c r="L327">
        <v>181.47</v>
      </c>
      <c r="M327">
        <v>544.41</v>
      </c>
      <c r="N327">
        <v>31</v>
      </c>
      <c r="O327" t="s">
        <v>19</v>
      </c>
      <c r="P327" t="s">
        <v>35</v>
      </c>
    </row>
    <row r="328" spans="1:16">
      <c r="A328">
        <v>100730</v>
      </c>
      <c r="B328" s="4">
        <v>45634</v>
      </c>
      <c r="C328" t="s">
        <v>378</v>
      </c>
      <c r="D328" t="s">
        <v>87</v>
      </c>
      <c r="E328" t="s">
        <v>25</v>
      </c>
      <c r="F328" t="s">
        <v>1237</v>
      </c>
      <c r="G328" t="s">
        <v>31</v>
      </c>
      <c r="H328">
        <v>3</v>
      </c>
      <c r="I328">
        <v>95.98</v>
      </c>
      <c r="J328">
        <v>10</v>
      </c>
      <c r="K328">
        <v>259.14999999999998</v>
      </c>
      <c r="L328">
        <v>73.569999999999993</v>
      </c>
      <c r="M328">
        <v>220.70999999999998</v>
      </c>
      <c r="N328">
        <v>32</v>
      </c>
      <c r="O328" t="s">
        <v>26</v>
      </c>
      <c r="P328" t="s">
        <v>27</v>
      </c>
    </row>
    <row r="329" spans="1:16">
      <c r="A329">
        <v>100273</v>
      </c>
      <c r="B329" s="4">
        <v>45036</v>
      </c>
      <c r="C329" t="s">
        <v>379</v>
      </c>
      <c r="D329" t="s">
        <v>68</v>
      </c>
      <c r="E329" t="s">
        <v>25</v>
      </c>
      <c r="F329" t="s">
        <v>1240</v>
      </c>
      <c r="G329" t="s">
        <v>18</v>
      </c>
      <c r="H329">
        <v>2</v>
      </c>
      <c r="I329">
        <v>220.53</v>
      </c>
      <c r="J329">
        <v>5</v>
      </c>
      <c r="K329">
        <v>419.01</v>
      </c>
      <c r="L329">
        <v>123.73</v>
      </c>
      <c r="M329">
        <v>247.46</v>
      </c>
      <c r="N329">
        <v>29</v>
      </c>
      <c r="O329" t="s">
        <v>19</v>
      </c>
      <c r="P329" t="s">
        <v>43</v>
      </c>
    </row>
    <row r="330" spans="1:16">
      <c r="A330">
        <v>100966</v>
      </c>
      <c r="B330" s="4">
        <v>45816</v>
      </c>
      <c r="C330" t="s">
        <v>380</v>
      </c>
      <c r="D330" t="s">
        <v>42</v>
      </c>
      <c r="E330" t="s">
        <v>25</v>
      </c>
      <c r="F330" t="s">
        <v>1241</v>
      </c>
      <c r="G330" t="s">
        <v>18</v>
      </c>
      <c r="H330">
        <v>2</v>
      </c>
      <c r="I330">
        <v>161.53</v>
      </c>
      <c r="J330">
        <v>10</v>
      </c>
      <c r="K330">
        <v>290.75</v>
      </c>
      <c r="L330">
        <v>75.05</v>
      </c>
      <c r="M330">
        <v>150.1</v>
      </c>
      <c r="N330">
        <v>16</v>
      </c>
      <c r="O330" t="s">
        <v>26</v>
      </c>
      <c r="P330" t="s">
        <v>81</v>
      </c>
    </row>
    <row r="331" spans="1:16">
      <c r="A331">
        <v>100356</v>
      </c>
      <c r="B331" s="4">
        <v>45926</v>
      </c>
      <c r="C331" t="s">
        <v>782</v>
      </c>
      <c r="D331" t="s">
        <v>42</v>
      </c>
      <c r="E331" t="s">
        <v>25</v>
      </c>
      <c r="F331" t="s">
        <v>1238</v>
      </c>
      <c r="G331" t="s">
        <v>31</v>
      </c>
      <c r="H331">
        <v>2</v>
      </c>
      <c r="I331">
        <v>166.99</v>
      </c>
      <c r="J331">
        <v>0</v>
      </c>
      <c r="K331">
        <v>333.98</v>
      </c>
      <c r="L331">
        <v>100.3</v>
      </c>
      <c r="M331">
        <v>200.6</v>
      </c>
      <c r="N331">
        <v>29</v>
      </c>
      <c r="O331" t="s">
        <v>26</v>
      </c>
      <c r="P331" t="s">
        <v>43</v>
      </c>
    </row>
    <row r="332" spans="1:16">
      <c r="A332">
        <v>100099</v>
      </c>
      <c r="B332" s="4">
        <v>44942</v>
      </c>
      <c r="C332" t="s">
        <v>779</v>
      </c>
      <c r="D332" t="s">
        <v>68</v>
      </c>
      <c r="E332" t="s">
        <v>25</v>
      </c>
      <c r="F332" t="s">
        <v>1237</v>
      </c>
      <c r="G332" t="s">
        <v>18</v>
      </c>
      <c r="H332">
        <v>2</v>
      </c>
      <c r="I332">
        <v>212.72</v>
      </c>
      <c r="J332">
        <v>5</v>
      </c>
      <c r="K332">
        <v>404.17</v>
      </c>
      <c r="L332">
        <v>70.67</v>
      </c>
      <c r="M332">
        <v>141.34</v>
      </c>
      <c r="N332">
        <v>35</v>
      </c>
      <c r="O332" t="s">
        <v>26</v>
      </c>
      <c r="P332" t="s">
        <v>20</v>
      </c>
    </row>
    <row r="333" spans="1:16">
      <c r="A333">
        <v>100179</v>
      </c>
      <c r="B333" s="4">
        <v>45255</v>
      </c>
      <c r="C333" t="s">
        <v>778</v>
      </c>
      <c r="D333" t="s">
        <v>87</v>
      </c>
      <c r="E333" t="s">
        <v>25</v>
      </c>
      <c r="F333" t="s">
        <v>1237</v>
      </c>
      <c r="G333" t="s">
        <v>18</v>
      </c>
      <c r="H333">
        <v>3</v>
      </c>
      <c r="I333">
        <v>89.31</v>
      </c>
      <c r="J333">
        <v>10</v>
      </c>
      <c r="K333">
        <v>241.14</v>
      </c>
      <c r="L333">
        <v>71.790000000000006</v>
      </c>
      <c r="M333">
        <v>215.37</v>
      </c>
      <c r="N333">
        <v>31</v>
      </c>
      <c r="O333" t="s">
        <v>19</v>
      </c>
      <c r="P333" t="s">
        <v>32</v>
      </c>
    </row>
    <row r="334" spans="1:16">
      <c r="A334">
        <v>100901</v>
      </c>
      <c r="B334" s="4">
        <v>45708</v>
      </c>
      <c r="C334" t="s">
        <v>772</v>
      </c>
      <c r="D334" t="s">
        <v>100</v>
      </c>
      <c r="E334" t="s">
        <v>25</v>
      </c>
      <c r="F334" t="s">
        <v>1239</v>
      </c>
      <c r="G334" t="s">
        <v>18</v>
      </c>
      <c r="H334">
        <v>1</v>
      </c>
      <c r="I334">
        <v>116.18</v>
      </c>
      <c r="J334">
        <v>0</v>
      </c>
      <c r="K334">
        <v>116.18</v>
      </c>
      <c r="L334">
        <v>34.49</v>
      </c>
      <c r="M334">
        <v>34.49</v>
      </c>
      <c r="N334">
        <v>31</v>
      </c>
      <c r="O334" t="s">
        <v>26</v>
      </c>
      <c r="P334" t="s">
        <v>51</v>
      </c>
    </row>
    <row r="335" spans="1:16">
      <c r="A335">
        <v>100311</v>
      </c>
      <c r="B335" s="4">
        <v>45763</v>
      </c>
      <c r="C335" t="s">
        <v>384</v>
      </c>
      <c r="D335" t="s">
        <v>87</v>
      </c>
      <c r="E335" t="s">
        <v>25</v>
      </c>
      <c r="F335" t="s">
        <v>1238</v>
      </c>
      <c r="G335" t="s">
        <v>18</v>
      </c>
      <c r="H335">
        <v>3</v>
      </c>
      <c r="I335">
        <v>81.489999999999995</v>
      </c>
      <c r="J335">
        <v>0</v>
      </c>
      <c r="K335">
        <v>244.47</v>
      </c>
      <c r="L335">
        <v>98.55</v>
      </c>
      <c r="M335">
        <v>295.64999999999998</v>
      </c>
      <c r="N335">
        <v>21</v>
      </c>
      <c r="O335" t="s">
        <v>26</v>
      </c>
      <c r="P335" t="s">
        <v>32</v>
      </c>
    </row>
    <row r="336" spans="1:16">
      <c r="A336">
        <v>101090</v>
      </c>
      <c r="B336" s="4">
        <v>45487</v>
      </c>
      <c r="C336" t="s">
        <v>385</v>
      </c>
      <c r="D336" t="s">
        <v>24</v>
      </c>
      <c r="E336" t="s">
        <v>25</v>
      </c>
      <c r="F336" t="s">
        <v>1238</v>
      </c>
      <c r="G336" t="s">
        <v>18</v>
      </c>
      <c r="H336">
        <v>2</v>
      </c>
      <c r="I336">
        <v>88.81</v>
      </c>
      <c r="J336">
        <v>5</v>
      </c>
      <c r="K336">
        <v>168.74</v>
      </c>
      <c r="L336">
        <v>52.11</v>
      </c>
      <c r="M336">
        <v>104.22</v>
      </c>
      <c r="N336">
        <v>30</v>
      </c>
      <c r="O336" t="s">
        <v>26</v>
      </c>
      <c r="P336" t="s">
        <v>27</v>
      </c>
    </row>
    <row r="337" spans="1:16">
      <c r="A337">
        <v>100451</v>
      </c>
      <c r="B337" s="4">
        <v>45589</v>
      </c>
      <c r="C337" t="s">
        <v>386</v>
      </c>
      <c r="D337" t="s">
        <v>24</v>
      </c>
      <c r="E337" t="s">
        <v>25</v>
      </c>
      <c r="F337" t="s">
        <v>1241</v>
      </c>
      <c r="G337" t="s">
        <v>31</v>
      </c>
      <c r="H337">
        <v>1</v>
      </c>
      <c r="I337">
        <v>96.41</v>
      </c>
      <c r="J337">
        <v>0</v>
      </c>
      <c r="K337">
        <v>96.41</v>
      </c>
      <c r="L337">
        <v>36.99</v>
      </c>
      <c r="M337">
        <v>36.99</v>
      </c>
      <c r="N337">
        <v>40</v>
      </c>
      <c r="O337" t="s">
        <v>26</v>
      </c>
      <c r="P337" t="s">
        <v>27</v>
      </c>
    </row>
    <row r="338" spans="1:16">
      <c r="A338">
        <v>100257</v>
      </c>
      <c r="B338" s="4">
        <v>45752</v>
      </c>
      <c r="C338" t="s">
        <v>769</v>
      </c>
      <c r="D338" t="s">
        <v>42</v>
      </c>
      <c r="E338" t="s">
        <v>25</v>
      </c>
      <c r="F338" t="s">
        <v>1241</v>
      </c>
      <c r="G338" t="s">
        <v>18</v>
      </c>
      <c r="H338">
        <v>1</v>
      </c>
      <c r="I338">
        <v>126.83</v>
      </c>
      <c r="J338">
        <v>10</v>
      </c>
      <c r="K338">
        <v>114.15</v>
      </c>
      <c r="L338">
        <v>39.17</v>
      </c>
      <c r="M338">
        <v>39.17</v>
      </c>
      <c r="N338">
        <v>23</v>
      </c>
      <c r="O338" t="s">
        <v>26</v>
      </c>
      <c r="P338" t="s">
        <v>20</v>
      </c>
    </row>
    <row r="339" spans="1:16">
      <c r="A339">
        <v>101034</v>
      </c>
      <c r="B339" s="4">
        <v>45161</v>
      </c>
      <c r="C339" t="s">
        <v>768</v>
      </c>
      <c r="D339" t="s">
        <v>87</v>
      </c>
      <c r="E339" t="s">
        <v>25</v>
      </c>
      <c r="F339" t="s">
        <v>1241</v>
      </c>
      <c r="G339" t="s">
        <v>64</v>
      </c>
      <c r="H339">
        <v>2</v>
      </c>
      <c r="I339">
        <v>90.12</v>
      </c>
      <c r="J339">
        <v>10</v>
      </c>
      <c r="K339">
        <v>162.22</v>
      </c>
      <c r="L339">
        <v>43.68</v>
      </c>
      <c r="M339">
        <v>87.36</v>
      </c>
      <c r="N339">
        <v>38</v>
      </c>
      <c r="O339" t="s">
        <v>19</v>
      </c>
      <c r="P339" t="s">
        <v>32</v>
      </c>
    </row>
    <row r="340" spans="1:16">
      <c r="A340">
        <v>101085</v>
      </c>
      <c r="B340" s="4">
        <v>45646</v>
      </c>
      <c r="C340" t="s">
        <v>389</v>
      </c>
      <c r="D340" t="s">
        <v>87</v>
      </c>
      <c r="E340" t="s">
        <v>25</v>
      </c>
      <c r="F340" t="s">
        <v>1239</v>
      </c>
      <c r="G340" t="s">
        <v>31</v>
      </c>
      <c r="H340">
        <v>4</v>
      </c>
      <c r="I340">
        <v>67.959999999999994</v>
      </c>
      <c r="J340">
        <v>5</v>
      </c>
      <c r="K340">
        <v>258.25</v>
      </c>
      <c r="L340">
        <v>117.48</v>
      </c>
      <c r="M340">
        <v>469.92</v>
      </c>
      <c r="N340">
        <v>27</v>
      </c>
      <c r="O340" t="s">
        <v>26</v>
      </c>
      <c r="P340" t="s">
        <v>35</v>
      </c>
    </row>
    <row r="341" spans="1:16">
      <c r="A341">
        <v>100674</v>
      </c>
      <c r="B341" s="4">
        <v>45493</v>
      </c>
      <c r="C341" t="s">
        <v>763</v>
      </c>
      <c r="D341" t="s">
        <v>42</v>
      </c>
      <c r="E341" t="s">
        <v>25</v>
      </c>
      <c r="F341" t="s">
        <v>1239</v>
      </c>
      <c r="G341" t="s">
        <v>18</v>
      </c>
      <c r="H341">
        <v>3</v>
      </c>
      <c r="I341">
        <v>170.01</v>
      </c>
      <c r="J341">
        <v>5</v>
      </c>
      <c r="K341">
        <v>484.53</v>
      </c>
      <c r="L341">
        <v>126.2</v>
      </c>
      <c r="M341">
        <v>378.6</v>
      </c>
      <c r="N341">
        <v>34</v>
      </c>
      <c r="O341" t="s">
        <v>26</v>
      </c>
      <c r="P341" t="s">
        <v>32</v>
      </c>
    </row>
    <row r="342" spans="1:16">
      <c r="A342">
        <v>101157</v>
      </c>
      <c r="B342" s="4">
        <v>45137</v>
      </c>
      <c r="C342" t="s">
        <v>391</v>
      </c>
      <c r="D342" t="s">
        <v>42</v>
      </c>
      <c r="E342" t="s">
        <v>25</v>
      </c>
      <c r="F342" t="s">
        <v>1238</v>
      </c>
      <c r="G342" t="s">
        <v>18</v>
      </c>
      <c r="H342">
        <v>2</v>
      </c>
      <c r="I342">
        <v>165.61</v>
      </c>
      <c r="J342">
        <v>0</v>
      </c>
      <c r="K342">
        <v>331.22</v>
      </c>
      <c r="L342">
        <v>93.05</v>
      </c>
      <c r="M342">
        <v>186.1</v>
      </c>
      <c r="N342">
        <v>19</v>
      </c>
      <c r="O342" t="s">
        <v>19</v>
      </c>
      <c r="P342" t="s">
        <v>81</v>
      </c>
    </row>
    <row r="343" spans="1:16">
      <c r="A343">
        <v>101122</v>
      </c>
      <c r="B343" s="4">
        <v>45876</v>
      </c>
      <c r="C343" t="s">
        <v>762</v>
      </c>
      <c r="D343" t="s">
        <v>100</v>
      </c>
      <c r="E343" t="s">
        <v>25</v>
      </c>
      <c r="F343" t="s">
        <v>1241</v>
      </c>
      <c r="G343" t="s">
        <v>18</v>
      </c>
      <c r="H343">
        <v>2</v>
      </c>
      <c r="I343">
        <v>146.54</v>
      </c>
      <c r="J343">
        <v>10</v>
      </c>
      <c r="K343">
        <v>263.77</v>
      </c>
      <c r="L343">
        <v>71.62</v>
      </c>
      <c r="M343">
        <v>143.24</v>
      </c>
      <c r="N343">
        <v>33</v>
      </c>
      <c r="O343" t="s">
        <v>26</v>
      </c>
      <c r="P343" t="s">
        <v>27</v>
      </c>
    </row>
    <row r="344" spans="1:16">
      <c r="A344">
        <v>100822</v>
      </c>
      <c r="B344" s="4">
        <v>45216</v>
      </c>
      <c r="C344" t="s">
        <v>393</v>
      </c>
      <c r="D344" t="s">
        <v>24</v>
      </c>
      <c r="E344" t="s">
        <v>25</v>
      </c>
      <c r="F344" t="s">
        <v>1241</v>
      </c>
      <c r="G344" t="s">
        <v>18</v>
      </c>
      <c r="H344">
        <v>1</v>
      </c>
      <c r="I344">
        <v>98.91</v>
      </c>
      <c r="J344">
        <v>0</v>
      </c>
      <c r="K344">
        <v>98.91</v>
      </c>
      <c r="L344">
        <v>33.729999999999997</v>
      </c>
      <c r="M344">
        <v>33.729999999999997</v>
      </c>
      <c r="N344">
        <v>22</v>
      </c>
      <c r="O344" t="s">
        <v>19</v>
      </c>
      <c r="P344" t="s">
        <v>27</v>
      </c>
    </row>
    <row r="345" spans="1:16">
      <c r="A345">
        <v>100426</v>
      </c>
      <c r="B345" s="4">
        <v>45299</v>
      </c>
      <c r="C345" t="s">
        <v>759</v>
      </c>
      <c r="D345" t="s">
        <v>70</v>
      </c>
      <c r="E345" t="s">
        <v>25</v>
      </c>
      <c r="F345" t="s">
        <v>1239</v>
      </c>
      <c r="G345" t="s">
        <v>18</v>
      </c>
      <c r="H345">
        <v>4</v>
      </c>
      <c r="I345">
        <v>155.24</v>
      </c>
      <c r="J345">
        <v>0</v>
      </c>
      <c r="K345">
        <v>620.96</v>
      </c>
      <c r="L345">
        <v>198.84</v>
      </c>
      <c r="M345">
        <v>795.36</v>
      </c>
      <c r="N345">
        <v>16</v>
      </c>
      <c r="O345" t="s">
        <v>19</v>
      </c>
      <c r="P345" t="s">
        <v>46</v>
      </c>
    </row>
    <row r="346" spans="1:16">
      <c r="A346">
        <v>100807</v>
      </c>
      <c r="B346" s="4">
        <v>45349</v>
      </c>
      <c r="C346" t="s">
        <v>758</v>
      </c>
      <c r="D346" t="s">
        <v>87</v>
      </c>
      <c r="E346" t="s">
        <v>25</v>
      </c>
      <c r="F346" t="s">
        <v>1237</v>
      </c>
      <c r="G346" t="s">
        <v>48</v>
      </c>
      <c r="H346">
        <v>4</v>
      </c>
      <c r="I346">
        <v>84.54</v>
      </c>
      <c r="J346">
        <v>5</v>
      </c>
      <c r="K346">
        <v>321.25</v>
      </c>
      <c r="L346">
        <v>78.11</v>
      </c>
      <c r="M346">
        <v>312.44</v>
      </c>
      <c r="N346">
        <v>22</v>
      </c>
      <c r="O346" t="s">
        <v>26</v>
      </c>
      <c r="P346" t="s">
        <v>27</v>
      </c>
    </row>
    <row r="347" spans="1:16">
      <c r="A347">
        <v>100926</v>
      </c>
      <c r="B347" s="4">
        <v>45642</v>
      </c>
      <c r="C347" t="s">
        <v>747</v>
      </c>
      <c r="D347" t="s">
        <v>70</v>
      </c>
      <c r="E347" t="s">
        <v>25</v>
      </c>
      <c r="F347" t="s">
        <v>1239</v>
      </c>
      <c r="G347" t="s">
        <v>18</v>
      </c>
      <c r="H347">
        <v>3</v>
      </c>
      <c r="I347">
        <v>161.79</v>
      </c>
      <c r="J347">
        <v>20</v>
      </c>
      <c r="K347">
        <v>388.3</v>
      </c>
      <c r="L347">
        <v>89.31</v>
      </c>
      <c r="M347">
        <v>267.93</v>
      </c>
      <c r="N347">
        <v>47</v>
      </c>
      <c r="O347" t="s">
        <v>19</v>
      </c>
      <c r="P347" t="s">
        <v>20</v>
      </c>
    </row>
    <row r="348" spans="1:16">
      <c r="A348">
        <v>100498</v>
      </c>
      <c r="B348" s="4">
        <v>45420</v>
      </c>
      <c r="C348" t="s">
        <v>745</v>
      </c>
      <c r="D348" t="s">
        <v>87</v>
      </c>
      <c r="E348" t="s">
        <v>25</v>
      </c>
      <c r="F348" t="s">
        <v>1238</v>
      </c>
      <c r="G348" t="s">
        <v>31</v>
      </c>
      <c r="H348">
        <v>4</v>
      </c>
      <c r="I348">
        <v>88.15</v>
      </c>
      <c r="J348">
        <v>40</v>
      </c>
      <c r="K348">
        <v>211.56</v>
      </c>
      <c r="L348">
        <v>49.01</v>
      </c>
      <c r="M348">
        <v>196.04</v>
      </c>
      <c r="N348">
        <v>24</v>
      </c>
      <c r="O348" t="s">
        <v>26</v>
      </c>
      <c r="P348" t="s">
        <v>51</v>
      </c>
    </row>
    <row r="349" spans="1:16">
      <c r="A349">
        <v>101148</v>
      </c>
      <c r="B349" s="4">
        <v>45275</v>
      </c>
      <c r="C349" t="s">
        <v>744</v>
      </c>
      <c r="D349" t="s">
        <v>73</v>
      </c>
      <c r="E349" t="s">
        <v>25</v>
      </c>
      <c r="F349" t="s">
        <v>1237</v>
      </c>
      <c r="G349" t="s">
        <v>31</v>
      </c>
      <c r="H349">
        <v>3</v>
      </c>
      <c r="I349">
        <v>35.85</v>
      </c>
      <c r="J349">
        <v>0</v>
      </c>
      <c r="K349">
        <v>107.55</v>
      </c>
      <c r="L349">
        <v>29.32</v>
      </c>
      <c r="M349">
        <v>87.960000000000008</v>
      </c>
      <c r="N349">
        <v>20</v>
      </c>
      <c r="O349" t="s">
        <v>26</v>
      </c>
      <c r="P349" t="s">
        <v>20</v>
      </c>
    </row>
    <row r="350" spans="1:16">
      <c r="A350">
        <v>100604</v>
      </c>
      <c r="B350" s="4">
        <v>45567</v>
      </c>
      <c r="C350" t="s">
        <v>742</v>
      </c>
      <c r="D350" t="s">
        <v>87</v>
      </c>
      <c r="E350" t="s">
        <v>25</v>
      </c>
      <c r="F350" t="s">
        <v>1241</v>
      </c>
      <c r="G350" t="s">
        <v>31</v>
      </c>
      <c r="H350">
        <v>4</v>
      </c>
      <c r="I350">
        <v>83.05</v>
      </c>
      <c r="J350">
        <v>0</v>
      </c>
      <c r="K350">
        <v>332.2</v>
      </c>
      <c r="L350">
        <v>64.53</v>
      </c>
      <c r="M350">
        <v>258.12</v>
      </c>
      <c r="N350">
        <v>28</v>
      </c>
      <c r="O350" t="s">
        <v>26</v>
      </c>
      <c r="P350" t="s">
        <v>81</v>
      </c>
    </row>
    <row r="351" spans="1:16">
      <c r="A351">
        <v>100398</v>
      </c>
      <c r="B351" s="4">
        <v>45439</v>
      </c>
      <c r="C351" t="s">
        <v>400</v>
      </c>
      <c r="D351" t="s">
        <v>87</v>
      </c>
      <c r="E351" t="s">
        <v>25</v>
      </c>
      <c r="F351" t="s">
        <v>1238</v>
      </c>
      <c r="G351" t="s">
        <v>18</v>
      </c>
      <c r="H351">
        <v>3</v>
      </c>
      <c r="I351">
        <v>67.58</v>
      </c>
      <c r="J351">
        <v>0</v>
      </c>
      <c r="K351">
        <v>202.74</v>
      </c>
      <c r="L351">
        <v>58.89</v>
      </c>
      <c r="M351">
        <v>176.67000000000002</v>
      </c>
      <c r="N351">
        <v>34</v>
      </c>
      <c r="O351" t="s">
        <v>26</v>
      </c>
      <c r="P351" t="s">
        <v>35</v>
      </c>
    </row>
    <row r="352" spans="1:16">
      <c r="A352">
        <v>100256</v>
      </c>
      <c r="B352" s="4">
        <v>44943</v>
      </c>
      <c r="C352" t="s">
        <v>401</v>
      </c>
      <c r="D352" t="s">
        <v>39</v>
      </c>
      <c r="E352" t="s">
        <v>25</v>
      </c>
      <c r="F352" t="s">
        <v>1238</v>
      </c>
      <c r="G352" t="s">
        <v>18</v>
      </c>
      <c r="H352">
        <v>5</v>
      </c>
      <c r="I352">
        <v>172.7</v>
      </c>
      <c r="J352">
        <v>0</v>
      </c>
      <c r="K352">
        <v>863.5</v>
      </c>
      <c r="L352">
        <v>208.49</v>
      </c>
      <c r="M352">
        <v>1042.45</v>
      </c>
      <c r="N352">
        <v>25</v>
      </c>
      <c r="O352" t="s">
        <v>19</v>
      </c>
      <c r="P352" t="s">
        <v>20</v>
      </c>
    </row>
    <row r="353" spans="1:16">
      <c r="A353">
        <v>100417</v>
      </c>
      <c r="B353" s="4">
        <v>45591</v>
      </c>
      <c r="C353" t="s">
        <v>740</v>
      </c>
      <c r="D353" t="s">
        <v>42</v>
      </c>
      <c r="E353" t="s">
        <v>25</v>
      </c>
      <c r="F353" t="s">
        <v>1237</v>
      </c>
      <c r="G353" t="s">
        <v>18</v>
      </c>
      <c r="H353">
        <v>2</v>
      </c>
      <c r="I353">
        <v>164.55</v>
      </c>
      <c r="J353">
        <v>10</v>
      </c>
      <c r="K353">
        <v>296.19</v>
      </c>
      <c r="L353">
        <v>70.34</v>
      </c>
      <c r="M353">
        <v>140.68</v>
      </c>
      <c r="N353">
        <v>34</v>
      </c>
      <c r="O353" t="s">
        <v>19</v>
      </c>
      <c r="P353" t="s">
        <v>35</v>
      </c>
    </row>
    <row r="354" spans="1:16">
      <c r="A354">
        <v>100616</v>
      </c>
      <c r="B354" s="4">
        <v>45837</v>
      </c>
      <c r="C354" t="s">
        <v>226</v>
      </c>
      <c r="D354" t="s">
        <v>70</v>
      </c>
      <c r="E354" t="s">
        <v>25</v>
      </c>
      <c r="F354" t="s">
        <v>1237</v>
      </c>
      <c r="G354" t="s">
        <v>31</v>
      </c>
      <c r="H354">
        <v>6</v>
      </c>
      <c r="I354">
        <v>149.62</v>
      </c>
      <c r="J354">
        <v>10</v>
      </c>
      <c r="K354">
        <v>807.95</v>
      </c>
      <c r="L354">
        <v>253.48</v>
      </c>
      <c r="M354">
        <v>1520.8799999999999</v>
      </c>
      <c r="N354">
        <v>23</v>
      </c>
      <c r="O354" t="s">
        <v>26</v>
      </c>
      <c r="P354" t="s">
        <v>20</v>
      </c>
    </row>
    <row r="355" spans="1:16">
      <c r="A355">
        <v>100336</v>
      </c>
      <c r="B355" s="4">
        <v>45372</v>
      </c>
      <c r="C355" t="s">
        <v>404</v>
      </c>
      <c r="D355" t="s">
        <v>68</v>
      </c>
      <c r="E355" t="s">
        <v>25</v>
      </c>
      <c r="F355" t="s">
        <v>1241</v>
      </c>
      <c r="G355" t="s">
        <v>18</v>
      </c>
      <c r="H355">
        <v>1</v>
      </c>
      <c r="I355">
        <v>212.26</v>
      </c>
      <c r="J355">
        <v>20</v>
      </c>
      <c r="K355">
        <v>169.81</v>
      </c>
      <c r="L355">
        <v>32.200000000000003</v>
      </c>
      <c r="M355">
        <v>32.200000000000003</v>
      </c>
      <c r="N355">
        <v>26</v>
      </c>
      <c r="O355" t="s">
        <v>19</v>
      </c>
      <c r="P355" t="s">
        <v>43</v>
      </c>
    </row>
    <row r="356" spans="1:16">
      <c r="A356">
        <v>100584</v>
      </c>
      <c r="B356" s="4">
        <v>45154</v>
      </c>
      <c r="C356" t="s">
        <v>405</v>
      </c>
      <c r="D356" t="s">
        <v>73</v>
      </c>
      <c r="E356" t="s">
        <v>25</v>
      </c>
      <c r="F356" t="s">
        <v>1241</v>
      </c>
      <c r="G356" t="s">
        <v>64</v>
      </c>
      <c r="H356">
        <v>2</v>
      </c>
      <c r="I356">
        <v>34</v>
      </c>
      <c r="J356">
        <v>0</v>
      </c>
      <c r="K356">
        <v>68</v>
      </c>
      <c r="L356">
        <v>20.12</v>
      </c>
      <c r="M356">
        <v>40.24</v>
      </c>
      <c r="N356">
        <v>24</v>
      </c>
      <c r="O356" t="s">
        <v>122</v>
      </c>
      <c r="P356" t="s">
        <v>46</v>
      </c>
    </row>
    <row r="357" spans="1:16">
      <c r="A357">
        <v>100047</v>
      </c>
      <c r="B357" s="4">
        <v>45488</v>
      </c>
      <c r="C357" t="s">
        <v>406</v>
      </c>
      <c r="D357" t="s">
        <v>39</v>
      </c>
      <c r="E357" t="s">
        <v>25</v>
      </c>
      <c r="F357" t="s">
        <v>1241</v>
      </c>
      <c r="G357" t="s">
        <v>31</v>
      </c>
      <c r="H357">
        <v>2</v>
      </c>
      <c r="I357">
        <v>194.87</v>
      </c>
      <c r="J357">
        <v>5</v>
      </c>
      <c r="K357">
        <v>370.25</v>
      </c>
      <c r="L357">
        <v>134.53</v>
      </c>
      <c r="M357">
        <v>269.06</v>
      </c>
      <c r="N357">
        <v>24</v>
      </c>
      <c r="O357" t="s">
        <v>19</v>
      </c>
      <c r="P357" t="s">
        <v>43</v>
      </c>
    </row>
    <row r="358" spans="1:16">
      <c r="A358">
        <v>101121</v>
      </c>
      <c r="B358" s="4">
        <v>45208</v>
      </c>
      <c r="C358" t="s">
        <v>735</v>
      </c>
      <c r="D358" t="s">
        <v>24</v>
      </c>
      <c r="E358" t="s">
        <v>25</v>
      </c>
      <c r="F358" t="s">
        <v>1237</v>
      </c>
      <c r="G358" t="s">
        <v>31</v>
      </c>
      <c r="H358">
        <v>5</v>
      </c>
      <c r="I358">
        <v>85.87</v>
      </c>
      <c r="J358">
        <v>0</v>
      </c>
      <c r="K358">
        <v>429.35</v>
      </c>
      <c r="L358">
        <v>171.55</v>
      </c>
      <c r="M358">
        <v>857.75</v>
      </c>
      <c r="N358">
        <v>33</v>
      </c>
      <c r="O358" t="s">
        <v>19</v>
      </c>
      <c r="P358" t="s">
        <v>27</v>
      </c>
    </row>
    <row r="359" spans="1:16">
      <c r="A359">
        <v>100412</v>
      </c>
      <c r="B359" s="4">
        <v>44940</v>
      </c>
      <c r="C359" t="s">
        <v>733</v>
      </c>
      <c r="D359" t="s">
        <v>24</v>
      </c>
      <c r="E359" t="s">
        <v>25</v>
      </c>
      <c r="F359" t="s">
        <v>1239</v>
      </c>
      <c r="G359" t="s">
        <v>31</v>
      </c>
      <c r="H359">
        <v>5</v>
      </c>
      <c r="I359">
        <v>91.74</v>
      </c>
      <c r="J359">
        <v>0</v>
      </c>
      <c r="K359">
        <v>458.7</v>
      </c>
      <c r="L359">
        <v>151.11000000000001</v>
      </c>
      <c r="M359">
        <v>755.55000000000007</v>
      </c>
      <c r="N359">
        <v>30</v>
      </c>
      <c r="O359" t="s">
        <v>26</v>
      </c>
      <c r="P359" t="s">
        <v>27</v>
      </c>
    </row>
    <row r="360" spans="1:16">
      <c r="A360">
        <v>100720</v>
      </c>
      <c r="B360" s="4">
        <v>45354</v>
      </c>
      <c r="C360" t="s">
        <v>722</v>
      </c>
      <c r="D360" t="s">
        <v>42</v>
      </c>
      <c r="E360" t="s">
        <v>25</v>
      </c>
      <c r="F360" t="s">
        <v>1237</v>
      </c>
      <c r="G360" t="s">
        <v>18</v>
      </c>
      <c r="H360">
        <v>1</v>
      </c>
      <c r="I360">
        <v>145.79</v>
      </c>
      <c r="J360">
        <v>5</v>
      </c>
      <c r="K360">
        <v>138.5</v>
      </c>
      <c r="L360">
        <v>49.49</v>
      </c>
      <c r="M360">
        <v>49.49</v>
      </c>
      <c r="N360">
        <v>18</v>
      </c>
      <c r="O360" t="s">
        <v>26</v>
      </c>
      <c r="P360" t="s">
        <v>20</v>
      </c>
    </row>
    <row r="361" spans="1:16">
      <c r="A361">
        <v>100055</v>
      </c>
      <c r="B361" s="4">
        <v>45068</v>
      </c>
      <c r="C361" t="s">
        <v>410</v>
      </c>
      <c r="D361" t="s">
        <v>68</v>
      </c>
      <c r="E361" t="s">
        <v>25</v>
      </c>
      <c r="F361" t="s">
        <v>1237</v>
      </c>
      <c r="G361" t="s">
        <v>31</v>
      </c>
      <c r="H361">
        <v>1</v>
      </c>
      <c r="I361">
        <v>234.95</v>
      </c>
      <c r="J361">
        <v>20</v>
      </c>
      <c r="K361">
        <v>187.96</v>
      </c>
      <c r="L361">
        <v>65.34</v>
      </c>
      <c r="M361">
        <v>65.34</v>
      </c>
      <c r="N361">
        <v>41</v>
      </c>
      <c r="O361" t="s">
        <v>26</v>
      </c>
      <c r="P361" t="s">
        <v>32</v>
      </c>
    </row>
    <row r="362" spans="1:16">
      <c r="A362">
        <v>100368</v>
      </c>
      <c r="B362" s="4">
        <v>45927</v>
      </c>
      <c r="C362" t="s">
        <v>718</v>
      </c>
      <c r="D362" t="s">
        <v>24</v>
      </c>
      <c r="E362" t="s">
        <v>25</v>
      </c>
      <c r="F362" t="s">
        <v>1241</v>
      </c>
      <c r="G362" t="s">
        <v>31</v>
      </c>
      <c r="H362">
        <v>4</v>
      </c>
      <c r="I362">
        <v>90.47</v>
      </c>
      <c r="J362">
        <v>5</v>
      </c>
      <c r="K362">
        <v>343.79</v>
      </c>
      <c r="L362">
        <v>126.76</v>
      </c>
      <c r="M362">
        <v>507.04</v>
      </c>
      <c r="N362">
        <v>29</v>
      </c>
      <c r="O362" t="s">
        <v>26</v>
      </c>
      <c r="P362" t="s">
        <v>20</v>
      </c>
    </row>
    <row r="363" spans="1:16">
      <c r="A363">
        <v>100061</v>
      </c>
      <c r="B363" s="4">
        <v>45185</v>
      </c>
      <c r="C363" t="s">
        <v>713</v>
      </c>
      <c r="D363" t="s">
        <v>24</v>
      </c>
      <c r="E363" t="s">
        <v>25</v>
      </c>
      <c r="F363" t="s">
        <v>1237</v>
      </c>
      <c r="G363" t="s">
        <v>18</v>
      </c>
      <c r="H363">
        <v>4</v>
      </c>
      <c r="I363">
        <v>85.91</v>
      </c>
      <c r="J363">
        <v>5</v>
      </c>
      <c r="K363">
        <v>326.45999999999998</v>
      </c>
      <c r="L363">
        <v>86.53</v>
      </c>
      <c r="M363">
        <v>346.12</v>
      </c>
      <c r="N363">
        <v>29</v>
      </c>
      <c r="O363" t="s">
        <v>19</v>
      </c>
      <c r="P363" t="s">
        <v>51</v>
      </c>
    </row>
    <row r="364" spans="1:16">
      <c r="A364">
        <v>100120</v>
      </c>
      <c r="B364" s="4">
        <v>45209</v>
      </c>
      <c r="C364" t="s">
        <v>413</v>
      </c>
      <c r="D364" t="s">
        <v>73</v>
      </c>
      <c r="E364" t="s">
        <v>25</v>
      </c>
      <c r="F364" t="s">
        <v>1240</v>
      </c>
      <c r="G364" t="s">
        <v>48</v>
      </c>
      <c r="H364">
        <v>3</v>
      </c>
      <c r="I364">
        <v>33.35</v>
      </c>
      <c r="J364">
        <v>0</v>
      </c>
      <c r="K364">
        <v>100.05</v>
      </c>
      <c r="L364">
        <v>29.35</v>
      </c>
      <c r="M364">
        <v>88.050000000000011</v>
      </c>
      <c r="N364">
        <v>21</v>
      </c>
      <c r="O364" t="s">
        <v>26</v>
      </c>
      <c r="P364" t="s">
        <v>51</v>
      </c>
    </row>
    <row r="365" spans="1:16">
      <c r="A365">
        <v>100948</v>
      </c>
      <c r="B365" s="4">
        <v>45887</v>
      </c>
      <c r="C365" t="s">
        <v>710</v>
      </c>
      <c r="D365" t="s">
        <v>73</v>
      </c>
      <c r="E365" t="s">
        <v>25</v>
      </c>
      <c r="F365" t="s">
        <v>1241</v>
      </c>
      <c r="G365" t="s">
        <v>31</v>
      </c>
      <c r="H365">
        <v>4</v>
      </c>
      <c r="I365">
        <v>31.44</v>
      </c>
      <c r="J365">
        <v>10</v>
      </c>
      <c r="K365">
        <v>113.18</v>
      </c>
      <c r="L365">
        <v>31.47</v>
      </c>
      <c r="M365">
        <v>125.88</v>
      </c>
      <c r="N365">
        <v>32</v>
      </c>
      <c r="O365" t="s">
        <v>19</v>
      </c>
      <c r="P365" t="s">
        <v>51</v>
      </c>
    </row>
    <row r="366" spans="1:16">
      <c r="A366">
        <v>100018</v>
      </c>
      <c r="B366" s="4">
        <v>45157</v>
      </c>
      <c r="C366" t="s">
        <v>709</v>
      </c>
      <c r="D366" t="s">
        <v>24</v>
      </c>
      <c r="E366" t="s">
        <v>25</v>
      </c>
      <c r="F366" t="s">
        <v>1237</v>
      </c>
      <c r="G366" t="s">
        <v>18</v>
      </c>
      <c r="H366">
        <v>1</v>
      </c>
      <c r="I366">
        <v>97.25</v>
      </c>
      <c r="J366">
        <v>5</v>
      </c>
      <c r="K366">
        <v>92.39</v>
      </c>
      <c r="L366">
        <v>28.92</v>
      </c>
      <c r="M366">
        <v>28.92</v>
      </c>
      <c r="N366">
        <v>16</v>
      </c>
      <c r="O366" t="s">
        <v>26</v>
      </c>
      <c r="P366" t="s">
        <v>27</v>
      </c>
    </row>
    <row r="367" spans="1:16">
      <c r="A367">
        <v>101117</v>
      </c>
      <c r="B367" s="4">
        <v>45654</v>
      </c>
      <c r="C367" t="s">
        <v>416</v>
      </c>
      <c r="D367" t="s">
        <v>68</v>
      </c>
      <c r="E367" t="s">
        <v>25</v>
      </c>
      <c r="F367" t="s">
        <v>1237</v>
      </c>
      <c r="G367" t="s">
        <v>31</v>
      </c>
      <c r="H367">
        <v>6</v>
      </c>
      <c r="I367">
        <v>234.25</v>
      </c>
      <c r="J367">
        <v>0</v>
      </c>
      <c r="K367">
        <v>1405.5</v>
      </c>
      <c r="L367">
        <v>364.55</v>
      </c>
      <c r="M367">
        <v>2187.3000000000002</v>
      </c>
      <c r="N367">
        <v>46</v>
      </c>
      <c r="O367" t="s">
        <v>19</v>
      </c>
      <c r="P367" t="s">
        <v>20</v>
      </c>
    </row>
    <row r="368" spans="1:16">
      <c r="A368">
        <v>100176</v>
      </c>
      <c r="B368" s="4">
        <v>45698</v>
      </c>
      <c r="C368" t="s">
        <v>708</v>
      </c>
      <c r="D368" t="s">
        <v>73</v>
      </c>
      <c r="E368" t="s">
        <v>25</v>
      </c>
      <c r="F368" t="s">
        <v>1239</v>
      </c>
      <c r="G368" t="s">
        <v>18</v>
      </c>
      <c r="H368">
        <v>3</v>
      </c>
      <c r="I368">
        <v>33.450000000000003</v>
      </c>
      <c r="J368">
        <v>5</v>
      </c>
      <c r="K368">
        <v>95.33</v>
      </c>
      <c r="L368">
        <v>37.57</v>
      </c>
      <c r="M368">
        <v>112.71000000000001</v>
      </c>
      <c r="N368">
        <v>20</v>
      </c>
      <c r="O368" t="s">
        <v>19</v>
      </c>
      <c r="P368" t="s">
        <v>20</v>
      </c>
    </row>
    <row r="369" spans="1:16">
      <c r="A369">
        <v>100741</v>
      </c>
      <c r="B369" s="4">
        <v>45925</v>
      </c>
      <c r="C369" t="s">
        <v>707</v>
      </c>
      <c r="D369" t="s">
        <v>73</v>
      </c>
      <c r="E369" t="s">
        <v>25</v>
      </c>
      <c r="F369" t="s">
        <v>1237</v>
      </c>
      <c r="G369" t="s">
        <v>64</v>
      </c>
      <c r="H369">
        <v>3</v>
      </c>
      <c r="I369">
        <v>36.020000000000003</v>
      </c>
      <c r="J369">
        <v>5</v>
      </c>
      <c r="K369">
        <v>102.66</v>
      </c>
      <c r="L369">
        <v>24.89</v>
      </c>
      <c r="M369">
        <v>74.67</v>
      </c>
      <c r="N369">
        <v>32</v>
      </c>
      <c r="O369" t="s">
        <v>26</v>
      </c>
      <c r="P369" t="s">
        <v>32</v>
      </c>
    </row>
    <row r="370" spans="1:16">
      <c r="A370">
        <v>100395</v>
      </c>
      <c r="B370" s="4">
        <v>45792</v>
      </c>
      <c r="C370" t="s">
        <v>706</v>
      </c>
      <c r="D370" t="s">
        <v>42</v>
      </c>
      <c r="E370" t="s">
        <v>25</v>
      </c>
      <c r="F370" t="s">
        <v>1239</v>
      </c>
      <c r="G370" t="s">
        <v>18</v>
      </c>
      <c r="H370">
        <v>2</v>
      </c>
      <c r="I370">
        <v>167.72</v>
      </c>
      <c r="J370">
        <v>0</v>
      </c>
      <c r="K370">
        <v>335.44</v>
      </c>
      <c r="L370">
        <v>101.32</v>
      </c>
      <c r="M370">
        <v>202.64</v>
      </c>
      <c r="N370">
        <v>21</v>
      </c>
      <c r="O370" t="s">
        <v>26</v>
      </c>
      <c r="P370" t="s">
        <v>35</v>
      </c>
    </row>
    <row r="371" spans="1:16">
      <c r="A371">
        <v>100444</v>
      </c>
      <c r="B371" s="4">
        <v>45404</v>
      </c>
      <c r="C371" t="s">
        <v>705</v>
      </c>
      <c r="D371" t="s">
        <v>68</v>
      </c>
      <c r="E371" t="s">
        <v>25</v>
      </c>
      <c r="F371" t="s">
        <v>1239</v>
      </c>
      <c r="G371" t="s">
        <v>31</v>
      </c>
      <c r="H371">
        <v>1</v>
      </c>
      <c r="I371">
        <v>200.35</v>
      </c>
      <c r="J371">
        <v>10</v>
      </c>
      <c r="K371">
        <v>180.31</v>
      </c>
      <c r="L371">
        <v>65.23</v>
      </c>
      <c r="M371">
        <v>65.23</v>
      </c>
      <c r="N371">
        <v>34</v>
      </c>
      <c r="O371" t="s">
        <v>19</v>
      </c>
      <c r="P371" t="s">
        <v>20</v>
      </c>
    </row>
    <row r="372" spans="1:16">
      <c r="A372">
        <v>100557</v>
      </c>
      <c r="B372" s="4">
        <v>45509</v>
      </c>
      <c r="C372" t="s">
        <v>421</v>
      </c>
      <c r="D372" t="s">
        <v>73</v>
      </c>
      <c r="E372" t="s">
        <v>25</v>
      </c>
      <c r="F372" t="s">
        <v>1237</v>
      </c>
      <c r="G372" t="s">
        <v>31</v>
      </c>
      <c r="H372">
        <v>1</v>
      </c>
      <c r="I372">
        <v>36.42</v>
      </c>
      <c r="J372">
        <v>0</v>
      </c>
      <c r="K372">
        <v>36.42</v>
      </c>
      <c r="L372">
        <v>8.8699999999999992</v>
      </c>
      <c r="M372">
        <v>8.8699999999999992</v>
      </c>
      <c r="N372">
        <v>49</v>
      </c>
      <c r="O372" t="s">
        <v>26</v>
      </c>
      <c r="P372" t="s">
        <v>27</v>
      </c>
    </row>
    <row r="373" spans="1:16">
      <c r="A373">
        <v>101081</v>
      </c>
      <c r="B373" s="4">
        <v>45033</v>
      </c>
      <c r="C373" t="s">
        <v>422</v>
      </c>
      <c r="D373" t="s">
        <v>24</v>
      </c>
      <c r="E373" t="s">
        <v>25</v>
      </c>
      <c r="F373" t="s">
        <v>1237</v>
      </c>
      <c r="G373" t="s">
        <v>18</v>
      </c>
      <c r="H373">
        <v>3</v>
      </c>
      <c r="I373">
        <v>110.01</v>
      </c>
      <c r="J373">
        <v>5</v>
      </c>
      <c r="K373">
        <v>313.52999999999997</v>
      </c>
      <c r="L373">
        <v>123.66</v>
      </c>
      <c r="M373">
        <v>370.98</v>
      </c>
      <c r="N373">
        <v>28</v>
      </c>
      <c r="O373" t="s">
        <v>26</v>
      </c>
      <c r="P373" t="s">
        <v>35</v>
      </c>
    </row>
    <row r="374" spans="1:16">
      <c r="A374">
        <v>100979</v>
      </c>
      <c r="B374" s="4">
        <v>45901</v>
      </c>
      <c r="C374" t="s">
        <v>704</v>
      </c>
      <c r="D374" t="s">
        <v>87</v>
      </c>
      <c r="E374" t="s">
        <v>25</v>
      </c>
      <c r="F374" t="s">
        <v>1239</v>
      </c>
      <c r="G374" t="s">
        <v>31</v>
      </c>
      <c r="H374">
        <v>4</v>
      </c>
      <c r="I374">
        <v>91.51</v>
      </c>
      <c r="J374">
        <v>0</v>
      </c>
      <c r="K374">
        <v>366.04</v>
      </c>
      <c r="L374">
        <v>115.45</v>
      </c>
      <c r="M374">
        <v>461.8</v>
      </c>
      <c r="N374">
        <v>46</v>
      </c>
      <c r="O374" t="s">
        <v>26</v>
      </c>
      <c r="P374" t="s">
        <v>43</v>
      </c>
    </row>
    <row r="375" spans="1:16">
      <c r="A375">
        <v>100383</v>
      </c>
      <c r="B375" s="4">
        <v>45104</v>
      </c>
      <c r="C375" t="s">
        <v>700</v>
      </c>
      <c r="D375" t="s">
        <v>73</v>
      </c>
      <c r="E375" t="s">
        <v>25</v>
      </c>
      <c r="F375" t="s">
        <v>1241</v>
      </c>
      <c r="G375" t="s">
        <v>18</v>
      </c>
      <c r="H375">
        <v>3</v>
      </c>
      <c r="I375">
        <v>37.49</v>
      </c>
      <c r="J375">
        <v>0</v>
      </c>
      <c r="K375">
        <v>112.47</v>
      </c>
      <c r="L375">
        <v>30.79</v>
      </c>
      <c r="M375">
        <v>92.37</v>
      </c>
      <c r="N375">
        <v>31</v>
      </c>
      <c r="O375" t="s">
        <v>26</v>
      </c>
      <c r="P375" t="s">
        <v>81</v>
      </c>
    </row>
    <row r="376" spans="1:16">
      <c r="A376">
        <v>101052</v>
      </c>
      <c r="B376" s="4">
        <v>45817</v>
      </c>
      <c r="C376" t="s">
        <v>699</v>
      </c>
      <c r="D376" t="s">
        <v>100</v>
      </c>
      <c r="E376" t="s">
        <v>25</v>
      </c>
      <c r="F376" t="s">
        <v>1237</v>
      </c>
      <c r="G376" t="s">
        <v>18</v>
      </c>
      <c r="H376">
        <v>3</v>
      </c>
      <c r="I376">
        <v>129.12</v>
      </c>
      <c r="J376">
        <v>0</v>
      </c>
      <c r="K376">
        <v>387.36</v>
      </c>
      <c r="L376">
        <v>119.57</v>
      </c>
      <c r="M376">
        <v>358.71</v>
      </c>
      <c r="N376">
        <v>43</v>
      </c>
      <c r="O376" t="s">
        <v>26</v>
      </c>
      <c r="P376" t="s">
        <v>32</v>
      </c>
    </row>
    <row r="377" spans="1:16">
      <c r="A377">
        <v>100366</v>
      </c>
      <c r="B377" s="4">
        <v>45170</v>
      </c>
      <c r="C377" t="s">
        <v>697</v>
      </c>
      <c r="D377" t="s">
        <v>87</v>
      </c>
      <c r="E377" t="s">
        <v>25</v>
      </c>
      <c r="F377" t="s">
        <v>1237</v>
      </c>
      <c r="G377" t="s">
        <v>48</v>
      </c>
      <c r="H377">
        <v>3</v>
      </c>
      <c r="I377">
        <v>80.47</v>
      </c>
      <c r="J377">
        <v>10</v>
      </c>
      <c r="K377">
        <v>217.27</v>
      </c>
      <c r="L377">
        <v>74.67</v>
      </c>
      <c r="M377">
        <v>224.01</v>
      </c>
      <c r="N377">
        <v>33</v>
      </c>
      <c r="O377" t="s">
        <v>26</v>
      </c>
      <c r="P377" t="s">
        <v>43</v>
      </c>
    </row>
    <row r="378" spans="1:16">
      <c r="A378">
        <v>101013</v>
      </c>
      <c r="B378" s="4">
        <v>45192</v>
      </c>
      <c r="C378" t="s">
        <v>427</v>
      </c>
      <c r="D378" t="s">
        <v>39</v>
      </c>
      <c r="E378" t="s">
        <v>25</v>
      </c>
      <c r="F378" t="s">
        <v>1237</v>
      </c>
      <c r="G378" t="s">
        <v>31</v>
      </c>
      <c r="H378">
        <v>3</v>
      </c>
      <c r="I378">
        <v>196.56</v>
      </c>
      <c r="J378">
        <v>0</v>
      </c>
      <c r="K378">
        <v>589.67999999999995</v>
      </c>
      <c r="L378">
        <v>194.21</v>
      </c>
      <c r="M378">
        <v>582.63</v>
      </c>
      <c r="N378">
        <v>24</v>
      </c>
      <c r="O378" t="s">
        <v>26</v>
      </c>
      <c r="P378" t="s">
        <v>20</v>
      </c>
    </row>
    <row r="379" spans="1:16">
      <c r="A379">
        <v>100993</v>
      </c>
      <c r="B379" s="4">
        <v>45622</v>
      </c>
      <c r="C379" t="s">
        <v>696</v>
      </c>
      <c r="D379" t="s">
        <v>42</v>
      </c>
      <c r="E379" t="s">
        <v>25</v>
      </c>
      <c r="F379" t="s">
        <v>1241</v>
      </c>
      <c r="G379" t="s">
        <v>64</v>
      </c>
      <c r="H379">
        <v>3</v>
      </c>
      <c r="I379">
        <v>155.56</v>
      </c>
      <c r="J379">
        <v>0</v>
      </c>
      <c r="K379">
        <v>466.68</v>
      </c>
      <c r="L379">
        <v>133.65</v>
      </c>
      <c r="M379">
        <v>400.95000000000005</v>
      </c>
      <c r="N379">
        <v>39</v>
      </c>
      <c r="O379" t="s">
        <v>26</v>
      </c>
      <c r="P379" t="s">
        <v>81</v>
      </c>
    </row>
    <row r="380" spans="1:16">
      <c r="A380">
        <v>100752</v>
      </c>
      <c r="B380" s="4">
        <v>45533</v>
      </c>
      <c r="C380" t="s">
        <v>695</v>
      </c>
      <c r="D380" t="s">
        <v>24</v>
      </c>
      <c r="E380" t="s">
        <v>25</v>
      </c>
      <c r="F380" t="s">
        <v>1241</v>
      </c>
      <c r="G380" t="s">
        <v>18</v>
      </c>
      <c r="H380">
        <v>1</v>
      </c>
      <c r="I380">
        <v>91.04</v>
      </c>
      <c r="J380">
        <v>0</v>
      </c>
      <c r="K380">
        <v>91.04</v>
      </c>
      <c r="L380">
        <v>20.12</v>
      </c>
      <c r="M380">
        <v>20.12</v>
      </c>
      <c r="N380">
        <v>47</v>
      </c>
      <c r="O380" t="s">
        <v>26</v>
      </c>
      <c r="P380" t="s">
        <v>81</v>
      </c>
    </row>
    <row r="381" spans="1:16">
      <c r="A381">
        <v>100679</v>
      </c>
      <c r="B381" s="4">
        <v>45210</v>
      </c>
      <c r="C381" t="s">
        <v>694</v>
      </c>
      <c r="D381" t="s">
        <v>70</v>
      </c>
      <c r="E381" t="s">
        <v>25</v>
      </c>
      <c r="F381" t="s">
        <v>1237</v>
      </c>
      <c r="G381" t="s">
        <v>31</v>
      </c>
      <c r="H381">
        <v>2</v>
      </c>
      <c r="I381">
        <v>155.49</v>
      </c>
      <c r="J381">
        <v>20</v>
      </c>
      <c r="K381">
        <v>248.78</v>
      </c>
      <c r="L381">
        <v>62.32</v>
      </c>
      <c r="M381">
        <v>124.64</v>
      </c>
      <c r="N381">
        <v>29</v>
      </c>
      <c r="O381" t="s">
        <v>19</v>
      </c>
      <c r="P381" t="s">
        <v>46</v>
      </c>
    </row>
    <row r="382" spans="1:16">
      <c r="A382">
        <v>100660</v>
      </c>
      <c r="B382" s="4">
        <v>44962</v>
      </c>
      <c r="C382" t="s">
        <v>693</v>
      </c>
      <c r="D382" t="s">
        <v>24</v>
      </c>
      <c r="E382" t="s">
        <v>25</v>
      </c>
      <c r="F382" t="s">
        <v>1237</v>
      </c>
      <c r="G382" t="s">
        <v>31</v>
      </c>
      <c r="H382">
        <v>3</v>
      </c>
      <c r="I382">
        <v>94.21</v>
      </c>
      <c r="J382">
        <v>10</v>
      </c>
      <c r="K382">
        <v>254.37</v>
      </c>
      <c r="L382">
        <v>60.55</v>
      </c>
      <c r="M382">
        <v>181.64999999999998</v>
      </c>
      <c r="N382">
        <v>39</v>
      </c>
      <c r="O382" t="s">
        <v>26</v>
      </c>
      <c r="P382" t="s">
        <v>46</v>
      </c>
    </row>
    <row r="383" spans="1:16">
      <c r="A383">
        <v>101162</v>
      </c>
      <c r="B383" s="4">
        <v>45700</v>
      </c>
      <c r="C383" t="s">
        <v>432</v>
      </c>
      <c r="D383" t="s">
        <v>68</v>
      </c>
      <c r="E383" t="s">
        <v>25</v>
      </c>
      <c r="F383" t="s">
        <v>1241</v>
      </c>
      <c r="G383" t="s">
        <v>48</v>
      </c>
      <c r="H383">
        <v>1</v>
      </c>
      <c r="I383">
        <v>214.74</v>
      </c>
      <c r="J383">
        <v>0</v>
      </c>
      <c r="K383">
        <v>214.74</v>
      </c>
      <c r="L383">
        <v>60.58</v>
      </c>
      <c r="M383">
        <v>60.58</v>
      </c>
      <c r="N383">
        <v>18</v>
      </c>
      <c r="O383" t="s">
        <v>26</v>
      </c>
      <c r="P383" t="s">
        <v>46</v>
      </c>
    </row>
    <row r="384" spans="1:16">
      <c r="A384">
        <v>100528</v>
      </c>
      <c r="B384" s="4">
        <v>45349</v>
      </c>
      <c r="C384" t="s">
        <v>433</v>
      </c>
      <c r="D384" t="s">
        <v>73</v>
      </c>
      <c r="E384" t="s">
        <v>25</v>
      </c>
      <c r="F384" t="s">
        <v>1241</v>
      </c>
      <c r="G384" t="s">
        <v>18</v>
      </c>
      <c r="H384">
        <v>3</v>
      </c>
      <c r="I384">
        <v>38.49</v>
      </c>
      <c r="J384">
        <v>0</v>
      </c>
      <c r="K384">
        <v>115.47</v>
      </c>
      <c r="L384">
        <v>34.28</v>
      </c>
      <c r="M384">
        <v>102.84</v>
      </c>
      <c r="N384">
        <v>25</v>
      </c>
      <c r="O384" t="s">
        <v>19</v>
      </c>
      <c r="P384" t="s">
        <v>46</v>
      </c>
    </row>
    <row r="385" spans="1:16">
      <c r="A385">
        <v>100024</v>
      </c>
      <c r="B385" s="4">
        <v>45919</v>
      </c>
      <c r="C385" t="s">
        <v>692</v>
      </c>
      <c r="D385" t="s">
        <v>24</v>
      </c>
      <c r="E385" t="s">
        <v>25</v>
      </c>
      <c r="F385" t="s">
        <v>1239</v>
      </c>
      <c r="G385" t="s">
        <v>18</v>
      </c>
      <c r="H385">
        <v>3</v>
      </c>
      <c r="I385">
        <v>88.31</v>
      </c>
      <c r="J385">
        <v>0</v>
      </c>
      <c r="K385">
        <v>264.93</v>
      </c>
      <c r="L385">
        <v>80.5</v>
      </c>
      <c r="M385">
        <v>241.5</v>
      </c>
      <c r="N385">
        <v>30</v>
      </c>
      <c r="O385" t="s">
        <v>26</v>
      </c>
      <c r="P385" t="s">
        <v>51</v>
      </c>
    </row>
    <row r="386" spans="1:16">
      <c r="A386">
        <v>100468</v>
      </c>
      <c r="B386" s="4">
        <v>45383</v>
      </c>
      <c r="C386" t="s">
        <v>691</v>
      </c>
      <c r="D386" t="s">
        <v>42</v>
      </c>
      <c r="E386" t="s">
        <v>25</v>
      </c>
      <c r="F386" t="s">
        <v>1240</v>
      </c>
      <c r="G386" t="s">
        <v>31</v>
      </c>
      <c r="H386">
        <v>2</v>
      </c>
      <c r="I386">
        <v>143.91999999999999</v>
      </c>
      <c r="J386">
        <v>20</v>
      </c>
      <c r="K386">
        <v>230.27</v>
      </c>
      <c r="L386">
        <v>78.44</v>
      </c>
      <c r="M386">
        <v>156.88</v>
      </c>
      <c r="N386">
        <v>36</v>
      </c>
      <c r="O386" t="s">
        <v>19</v>
      </c>
      <c r="P386" t="s">
        <v>46</v>
      </c>
    </row>
    <row r="387" spans="1:16">
      <c r="A387">
        <v>100900</v>
      </c>
      <c r="B387" s="4">
        <v>45074</v>
      </c>
      <c r="C387" t="s">
        <v>436</v>
      </c>
      <c r="D387" t="s">
        <v>68</v>
      </c>
      <c r="E387" t="s">
        <v>25</v>
      </c>
      <c r="F387" t="s">
        <v>1241</v>
      </c>
      <c r="G387" t="s">
        <v>18</v>
      </c>
      <c r="H387">
        <v>4</v>
      </c>
      <c r="I387">
        <v>213.99</v>
      </c>
      <c r="J387">
        <v>0</v>
      </c>
      <c r="K387">
        <v>855.96</v>
      </c>
      <c r="L387">
        <v>293.89999999999998</v>
      </c>
      <c r="M387">
        <v>1175.5999999999999</v>
      </c>
      <c r="N387">
        <v>29</v>
      </c>
      <c r="O387" t="s">
        <v>26</v>
      </c>
      <c r="P387" t="s">
        <v>32</v>
      </c>
    </row>
    <row r="388" spans="1:16">
      <c r="A388">
        <v>100060</v>
      </c>
      <c r="B388" s="4">
        <v>45113</v>
      </c>
      <c r="C388" t="s">
        <v>437</v>
      </c>
      <c r="D388" t="s">
        <v>70</v>
      </c>
      <c r="E388" t="s">
        <v>25</v>
      </c>
      <c r="F388" t="s">
        <v>1238</v>
      </c>
      <c r="G388" t="s">
        <v>31</v>
      </c>
      <c r="H388">
        <v>2</v>
      </c>
      <c r="I388">
        <v>172.95</v>
      </c>
      <c r="J388">
        <v>40</v>
      </c>
      <c r="K388">
        <v>207.54</v>
      </c>
      <c r="L388">
        <v>73.319999999999993</v>
      </c>
      <c r="M388">
        <v>146.63999999999999</v>
      </c>
      <c r="N388">
        <v>39</v>
      </c>
      <c r="O388" t="s">
        <v>26</v>
      </c>
      <c r="P388" t="s">
        <v>32</v>
      </c>
    </row>
    <row r="389" spans="1:16">
      <c r="A389">
        <v>100483</v>
      </c>
      <c r="B389" s="4">
        <v>45362</v>
      </c>
      <c r="C389" t="s">
        <v>690</v>
      </c>
      <c r="D389" t="s">
        <v>68</v>
      </c>
      <c r="E389" t="s">
        <v>25</v>
      </c>
      <c r="F389" t="s">
        <v>1237</v>
      </c>
      <c r="G389" t="s">
        <v>48</v>
      </c>
      <c r="H389">
        <v>4</v>
      </c>
      <c r="I389">
        <v>222.32</v>
      </c>
      <c r="J389">
        <v>40</v>
      </c>
      <c r="K389">
        <v>533.57000000000005</v>
      </c>
      <c r="L389">
        <v>153.69999999999999</v>
      </c>
      <c r="M389">
        <v>614.79999999999995</v>
      </c>
      <c r="N389">
        <v>41</v>
      </c>
      <c r="O389" t="s">
        <v>26</v>
      </c>
      <c r="P389" t="s">
        <v>32</v>
      </c>
    </row>
    <row r="390" spans="1:16">
      <c r="A390">
        <v>100092</v>
      </c>
      <c r="B390" s="4">
        <v>45051</v>
      </c>
      <c r="C390" t="s">
        <v>439</v>
      </c>
      <c r="D390" t="s">
        <v>39</v>
      </c>
      <c r="E390" t="s">
        <v>25</v>
      </c>
      <c r="F390" t="s">
        <v>1237</v>
      </c>
      <c r="G390" t="s">
        <v>18</v>
      </c>
      <c r="H390">
        <v>2</v>
      </c>
      <c r="I390">
        <v>180.41</v>
      </c>
      <c r="J390">
        <v>0</v>
      </c>
      <c r="K390">
        <v>360.82</v>
      </c>
      <c r="L390">
        <v>125.72</v>
      </c>
      <c r="M390">
        <v>251.44</v>
      </c>
      <c r="N390">
        <v>42</v>
      </c>
      <c r="O390" t="s">
        <v>26</v>
      </c>
      <c r="P390" t="s">
        <v>81</v>
      </c>
    </row>
    <row r="391" spans="1:16">
      <c r="A391">
        <v>101165</v>
      </c>
      <c r="B391" s="4">
        <v>45436</v>
      </c>
      <c r="C391" t="s">
        <v>689</v>
      </c>
      <c r="D391" t="s">
        <v>39</v>
      </c>
      <c r="E391" t="s">
        <v>25</v>
      </c>
      <c r="F391" t="s">
        <v>1237</v>
      </c>
      <c r="G391" t="s">
        <v>64</v>
      </c>
      <c r="H391">
        <v>3</v>
      </c>
      <c r="I391">
        <v>170.5</v>
      </c>
      <c r="J391">
        <v>20</v>
      </c>
      <c r="K391">
        <v>409.2</v>
      </c>
      <c r="L391">
        <v>112.45</v>
      </c>
      <c r="M391">
        <v>337.35</v>
      </c>
      <c r="N391">
        <v>34</v>
      </c>
      <c r="O391" t="s">
        <v>26</v>
      </c>
      <c r="P391" t="s">
        <v>27</v>
      </c>
    </row>
    <row r="392" spans="1:16">
      <c r="A392">
        <v>100618</v>
      </c>
      <c r="B392" s="4">
        <v>45207</v>
      </c>
      <c r="C392" t="s">
        <v>441</v>
      </c>
      <c r="D392" t="s">
        <v>87</v>
      </c>
      <c r="E392" t="s">
        <v>25</v>
      </c>
      <c r="F392" t="s">
        <v>1237</v>
      </c>
      <c r="G392" t="s">
        <v>31</v>
      </c>
      <c r="H392">
        <v>6</v>
      </c>
      <c r="I392">
        <v>96.78</v>
      </c>
      <c r="J392">
        <v>10</v>
      </c>
      <c r="K392">
        <v>522.61</v>
      </c>
      <c r="L392">
        <v>175.15</v>
      </c>
      <c r="M392">
        <v>1050.9000000000001</v>
      </c>
      <c r="N392">
        <v>26</v>
      </c>
      <c r="O392" t="s">
        <v>26</v>
      </c>
      <c r="P392" t="s">
        <v>43</v>
      </c>
    </row>
    <row r="393" spans="1:16">
      <c r="A393">
        <v>100351</v>
      </c>
      <c r="B393" s="4">
        <v>45884</v>
      </c>
      <c r="C393" t="s">
        <v>442</v>
      </c>
      <c r="D393" t="s">
        <v>42</v>
      </c>
      <c r="E393" t="s">
        <v>25</v>
      </c>
      <c r="F393" t="s">
        <v>1237</v>
      </c>
      <c r="G393" t="s">
        <v>48</v>
      </c>
      <c r="H393">
        <v>4</v>
      </c>
      <c r="I393">
        <v>137.62</v>
      </c>
      <c r="J393">
        <v>20</v>
      </c>
      <c r="K393">
        <v>440.38</v>
      </c>
      <c r="L393">
        <v>108.09</v>
      </c>
      <c r="M393">
        <v>432.36</v>
      </c>
      <c r="N393">
        <v>26</v>
      </c>
      <c r="O393" t="s">
        <v>19</v>
      </c>
      <c r="P393" t="s">
        <v>81</v>
      </c>
    </row>
    <row r="394" spans="1:16">
      <c r="A394">
        <v>100932</v>
      </c>
      <c r="B394" s="4">
        <v>45614</v>
      </c>
      <c r="C394" t="s">
        <v>443</v>
      </c>
      <c r="D394" t="s">
        <v>39</v>
      </c>
      <c r="E394" t="s">
        <v>25</v>
      </c>
      <c r="F394" t="s">
        <v>1241</v>
      </c>
      <c r="G394" t="s">
        <v>18</v>
      </c>
      <c r="H394">
        <v>4</v>
      </c>
      <c r="I394">
        <v>158.80000000000001</v>
      </c>
      <c r="J394">
        <v>0</v>
      </c>
      <c r="K394">
        <v>635.20000000000005</v>
      </c>
      <c r="L394">
        <v>146.93</v>
      </c>
      <c r="M394">
        <v>587.72</v>
      </c>
      <c r="N394">
        <v>20</v>
      </c>
      <c r="O394" t="s">
        <v>26</v>
      </c>
      <c r="P394" t="s">
        <v>81</v>
      </c>
    </row>
    <row r="395" spans="1:16">
      <c r="A395">
        <v>101000</v>
      </c>
      <c r="B395" s="4">
        <v>45809</v>
      </c>
      <c r="C395" t="s">
        <v>688</v>
      </c>
      <c r="D395" t="s">
        <v>100</v>
      </c>
      <c r="E395" t="s">
        <v>25</v>
      </c>
      <c r="F395" t="s">
        <v>1241</v>
      </c>
      <c r="G395" t="s">
        <v>18</v>
      </c>
      <c r="H395">
        <v>3</v>
      </c>
      <c r="I395">
        <v>127.38</v>
      </c>
      <c r="J395">
        <v>0</v>
      </c>
      <c r="K395">
        <v>382.14</v>
      </c>
      <c r="L395">
        <v>91.64</v>
      </c>
      <c r="M395">
        <v>274.92</v>
      </c>
      <c r="N395">
        <v>27</v>
      </c>
      <c r="O395" t="s">
        <v>26</v>
      </c>
      <c r="P395" t="s">
        <v>81</v>
      </c>
    </row>
    <row r="396" spans="1:16">
      <c r="A396">
        <v>100568</v>
      </c>
      <c r="B396" s="4">
        <v>45637</v>
      </c>
      <c r="C396" t="s">
        <v>686</v>
      </c>
      <c r="D396" t="s">
        <v>87</v>
      </c>
      <c r="E396" t="s">
        <v>25</v>
      </c>
      <c r="F396" t="s">
        <v>1238</v>
      </c>
      <c r="G396" t="s">
        <v>18</v>
      </c>
      <c r="H396">
        <v>2</v>
      </c>
      <c r="I396">
        <v>89.15</v>
      </c>
      <c r="J396">
        <v>5</v>
      </c>
      <c r="K396">
        <v>169.38</v>
      </c>
      <c r="L396">
        <v>52.14</v>
      </c>
      <c r="M396">
        <v>104.28</v>
      </c>
      <c r="N396">
        <v>35</v>
      </c>
      <c r="O396" t="s">
        <v>19</v>
      </c>
      <c r="P396" t="s">
        <v>51</v>
      </c>
    </row>
    <row r="397" spans="1:16">
      <c r="A397">
        <v>100848</v>
      </c>
      <c r="B397" s="4">
        <v>45424</v>
      </c>
      <c r="C397" t="s">
        <v>685</v>
      </c>
      <c r="D397" t="s">
        <v>39</v>
      </c>
      <c r="E397" t="s">
        <v>25</v>
      </c>
      <c r="F397" t="s">
        <v>1241</v>
      </c>
      <c r="G397" t="s">
        <v>31</v>
      </c>
      <c r="H397">
        <v>5</v>
      </c>
      <c r="I397">
        <v>199.39</v>
      </c>
      <c r="J397">
        <v>0</v>
      </c>
      <c r="K397">
        <v>996.95</v>
      </c>
      <c r="L397">
        <v>236.22</v>
      </c>
      <c r="M397">
        <v>1181.0999999999999</v>
      </c>
      <c r="N397">
        <v>29</v>
      </c>
      <c r="O397" t="s">
        <v>26</v>
      </c>
      <c r="P397" t="s">
        <v>20</v>
      </c>
    </row>
    <row r="398" spans="1:16">
      <c r="A398">
        <v>100041</v>
      </c>
      <c r="B398" s="4">
        <v>45812</v>
      </c>
      <c r="C398" t="s">
        <v>683</v>
      </c>
      <c r="D398" t="s">
        <v>24</v>
      </c>
      <c r="E398" t="s">
        <v>25</v>
      </c>
      <c r="F398" t="s">
        <v>1241</v>
      </c>
      <c r="G398" t="s">
        <v>31</v>
      </c>
      <c r="H398">
        <v>1</v>
      </c>
      <c r="I398">
        <v>103.28</v>
      </c>
      <c r="J398">
        <v>0</v>
      </c>
      <c r="K398">
        <v>103.28</v>
      </c>
      <c r="L398">
        <v>39.04</v>
      </c>
      <c r="M398">
        <v>39.04</v>
      </c>
      <c r="N398">
        <v>31</v>
      </c>
      <c r="O398" t="s">
        <v>26</v>
      </c>
      <c r="P398" t="s">
        <v>43</v>
      </c>
    </row>
    <row r="399" spans="1:16">
      <c r="A399">
        <v>100732</v>
      </c>
      <c r="B399" s="4">
        <v>45528</v>
      </c>
      <c r="C399" t="s">
        <v>680</v>
      </c>
      <c r="D399" t="s">
        <v>73</v>
      </c>
      <c r="E399" t="s">
        <v>25</v>
      </c>
      <c r="F399" t="s">
        <v>1238</v>
      </c>
      <c r="G399" t="s">
        <v>18</v>
      </c>
      <c r="H399">
        <v>4</v>
      </c>
      <c r="I399">
        <v>32.520000000000003</v>
      </c>
      <c r="J399">
        <v>20</v>
      </c>
      <c r="K399">
        <v>104.06</v>
      </c>
      <c r="L399">
        <v>17.75</v>
      </c>
      <c r="M399">
        <v>71</v>
      </c>
      <c r="N399">
        <v>21</v>
      </c>
      <c r="O399" t="s">
        <v>19</v>
      </c>
      <c r="P399" t="s">
        <v>20</v>
      </c>
    </row>
    <row r="400" spans="1:16">
      <c r="A400">
        <v>100678</v>
      </c>
      <c r="B400" s="4">
        <v>45123</v>
      </c>
      <c r="C400" t="s">
        <v>449</v>
      </c>
      <c r="D400" t="s">
        <v>87</v>
      </c>
      <c r="E400" t="s">
        <v>25</v>
      </c>
      <c r="F400" t="s">
        <v>1240</v>
      </c>
      <c r="G400" t="s">
        <v>31</v>
      </c>
      <c r="H400">
        <v>6</v>
      </c>
      <c r="I400">
        <v>89.06</v>
      </c>
      <c r="J400">
        <v>0</v>
      </c>
      <c r="K400">
        <v>534.36</v>
      </c>
      <c r="L400">
        <v>143.36000000000001</v>
      </c>
      <c r="M400">
        <v>860.16000000000008</v>
      </c>
      <c r="N400">
        <v>29</v>
      </c>
      <c r="O400" t="s">
        <v>19</v>
      </c>
      <c r="P400" t="s">
        <v>51</v>
      </c>
    </row>
    <row r="401" spans="1:16">
      <c r="A401">
        <v>101155</v>
      </c>
      <c r="B401" s="4">
        <v>45908</v>
      </c>
      <c r="C401" t="s">
        <v>679</v>
      </c>
      <c r="D401" t="s">
        <v>87</v>
      </c>
      <c r="E401" t="s">
        <v>25</v>
      </c>
      <c r="F401" t="s">
        <v>1241</v>
      </c>
      <c r="G401" t="s">
        <v>18</v>
      </c>
      <c r="H401">
        <v>2</v>
      </c>
      <c r="I401">
        <v>78.760000000000005</v>
      </c>
      <c r="J401">
        <v>20</v>
      </c>
      <c r="K401">
        <v>126.02</v>
      </c>
      <c r="L401">
        <v>38.71</v>
      </c>
      <c r="M401">
        <v>77.42</v>
      </c>
      <c r="N401">
        <v>36</v>
      </c>
      <c r="O401" t="s">
        <v>26</v>
      </c>
      <c r="P401" t="s">
        <v>27</v>
      </c>
    </row>
    <row r="402" spans="1:16">
      <c r="A402">
        <v>100477</v>
      </c>
      <c r="B402" s="4">
        <v>45386</v>
      </c>
      <c r="C402" t="s">
        <v>451</v>
      </c>
      <c r="D402" t="s">
        <v>100</v>
      </c>
      <c r="E402" t="s">
        <v>25</v>
      </c>
      <c r="F402" t="s">
        <v>1239</v>
      </c>
      <c r="G402" t="s">
        <v>18</v>
      </c>
      <c r="H402">
        <v>2</v>
      </c>
      <c r="I402">
        <v>123.83</v>
      </c>
      <c r="J402">
        <v>0</v>
      </c>
      <c r="K402">
        <v>247.66</v>
      </c>
      <c r="L402">
        <v>75.69</v>
      </c>
      <c r="M402">
        <v>151.38</v>
      </c>
      <c r="N402">
        <v>33</v>
      </c>
      <c r="O402" t="s">
        <v>19</v>
      </c>
      <c r="P402" t="s">
        <v>35</v>
      </c>
    </row>
    <row r="403" spans="1:16">
      <c r="A403">
        <v>101094</v>
      </c>
      <c r="B403" s="4">
        <v>45562</v>
      </c>
      <c r="C403" t="s">
        <v>452</v>
      </c>
      <c r="D403" t="s">
        <v>70</v>
      </c>
      <c r="E403" t="s">
        <v>25</v>
      </c>
      <c r="F403" t="s">
        <v>1241</v>
      </c>
      <c r="G403" t="s">
        <v>48</v>
      </c>
      <c r="H403">
        <v>4</v>
      </c>
      <c r="I403">
        <v>129.38</v>
      </c>
      <c r="J403">
        <v>0</v>
      </c>
      <c r="K403">
        <v>517.52</v>
      </c>
      <c r="L403">
        <v>124.13</v>
      </c>
      <c r="M403">
        <v>496.52</v>
      </c>
      <c r="N403">
        <v>18</v>
      </c>
      <c r="O403" t="s">
        <v>26</v>
      </c>
      <c r="P403" t="s">
        <v>27</v>
      </c>
    </row>
    <row r="404" spans="1:16">
      <c r="A404">
        <v>100182</v>
      </c>
      <c r="B404" s="4">
        <v>45056</v>
      </c>
      <c r="C404" t="s">
        <v>453</v>
      </c>
      <c r="D404" t="s">
        <v>24</v>
      </c>
      <c r="E404" t="s">
        <v>25</v>
      </c>
      <c r="F404" t="s">
        <v>1237</v>
      </c>
      <c r="G404" t="s">
        <v>18</v>
      </c>
      <c r="H404">
        <v>3</v>
      </c>
      <c r="I404">
        <v>99.33</v>
      </c>
      <c r="J404">
        <v>20</v>
      </c>
      <c r="K404">
        <v>238.39</v>
      </c>
      <c r="L404">
        <v>76.849999999999994</v>
      </c>
      <c r="M404">
        <v>230.54999999999998</v>
      </c>
      <c r="N404">
        <v>39</v>
      </c>
      <c r="O404" t="s">
        <v>19</v>
      </c>
      <c r="P404" t="s">
        <v>81</v>
      </c>
    </row>
    <row r="405" spans="1:16">
      <c r="A405">
        <v>101091</v>
      </c>
      <c r="B405" s="4">
        <v>45288</v>
      </c>
      <c r="C405" t="s">
        <v>454</v>
      </c>
      <c r="D405" t="s">
        <v>24</v>
      </c>
      <c r="E405" t="s">
        <v>25</v>
      </c>
      <c r="F405" t="s">
        <v>1237</v>
      </c>
      <c r="G405" t="s">
        <v>31</v>
      </c>
      <c r="H405">
        <v>3</v>
      </c>
      <c r="I405">
        <v>97.04</v>
      </c>
      <c r="J405">
        <v>10</v>
      </c>
      <c r="K405">
        <v>262.01</v>
      </c>
      <c r="L405">
        <v>102.99</v>
      </c>
      <c r="M405">
        <v>308.96999999999997</v>
      </c>
      <c r="N405">
        <v>22</v>
      </c>
      <c r="O405" t="s">
        <v>122</v>
      </c>
      <c r="P405" t="s">
        <v>20</v>
      </c>
    </row>
    <row r="406" spans="1:16">
      <c r="A406">
        <v>100234</v>
      </c>
      <c r="B406" s="4">
        <v>45884</v>
      </c>
      <c r="C406" t="s">
        <v>675</v>
      </c>
      <c r="D406" t="s">
        <v>24</v>
      </c>
      <c r="E406" t="s">
        <v>25</v>
      </c>
      <c r="F406" t="s">
        <v>1238</v>
      </c>
      <c r="G406" t="s">
        <v>18</v>
      </c>
      <c r="H406">
        <v>2</v>
      </c>
      <c r="I406">
        <v>97.39</v>
      </c>
      <c r="J406">
        <v>0</v>
      </c>
      <c r="K406">
        <v>194.78</v>
      </c>
      <c r="L406">
        <v>58.41</v>
      </c>
      <c r="M406">
        <v>116.82</v>
      </c>
      <c r="N406">
        <v>18</v>
      </c>
      <c r="O406" t="s">
        <v>26</v>
      </c>
      <c r="P406" t="s">
        <v>35</v>
      </c>
    </row>
    <row r="407" spans="1:16">
      <c r="A407">
        <v>100587</v>
      </c>
      <c r="B407" s="4">
        <v>45455</v>
      </c>
      <c r="C407" t="s">
        <v>674</v>
      </c>
      <c r="D407" t="s">
        <v>70</v>
      </c>
      <c r="E407" t="s">
        <v>25</v>
      </c>
      <c r="F407" t="s">
        <v>1238</v>
      </c>
      <c r="G407" t="s">
        <v>48</v>
      </c>
      <c r="H407">
        <v>2</v>
      </c>
      <c r="I407">
        <v>159.36000000000001</v>
      </c>
      <c r="J407">
        <v>20</v>
      </c>
      <c r="K407">
        <v>254.98</v>
      </c>
      <c r="L407">
        <v>91.92</v>
      </c>
      <c r="M407">
        <v>183.84</v>
      </c>
      <c r="N407">
        <v>27</v>
      </c>
      <c r="O407" t="s">
        <v>19</v>
      </c>
      <c r="P407" t="s">
        <v>20</v>
      </c>
    </row>
    <row r="408" spans="1:16">
      <c r="A408">
        <v>100701</v>
      </c>
      <c r="B408" s="4">
        <v>45640</v>
      </c>
      <c r="C408" t="s">
        <v>670</v>
      </c>
      <c r="D408" t="s">
        <v>68</v>
      </c>
      <c r="E408" t="s">
        <v>25</v>
      </c>
      <c r="F408" t="s">
        <v>1239</v>
      </c>
      <c r="G408" t="s">
        <v>31</v>
      </c>
      <c r="H408">
        <v>5</v>
      </c>
      <c r="I408">
        <v>246.47</v>
      </c>
      <c r="J408">
        <v>5</v>
      </c>
      <c r="K408">
        <v>1170.73</v>
      </c>
      <c r="L408">
        <v>364.43</v>
      </c>
      <c r="M408">
        <v>1822.15</v>
      </c>
      <c r="N408">
        <v>30</v>
      </c>
      <c r="O408" t="s">
        <v>19</v>
      </c>
      <c r="P408" t="s">
        <v>20</v>
      </c>
    </row>
    <row r="409" spans="1:16">
      <c r="A409">
        <v>100239</v>
      </c>
      <c r="B409" s="4">
        <v>44995</v>
      </c>
      <c r="C409" t="s">
        <v>458</v>
      </c>
      <c r="D409" t="s">
        <v>87</v>
      </c>
      <c r="E409" t="s">
        <v>25</v>
      </c>
      <c r="F409" t="s">
        <v>1238</v>
      </c>
      <c r="G409" t="s">
        <v>31</v>
      </c>
      <c r="H409">
        <v>5</v>
      </c>
      <c r="I409">
        <v>76.77</v>
      </c>
      <c r="J409">
        <v>0</v>
      </c>
      <c r="K409">
        <v>383.85</v>
      </c>
      <c r="L409">
        <v>117.01</v>
      </c>
      <c r="M409">
        <v>585.05000000000007</v>
      </c>
      <c r="N409">
        <v>24</v>
      </c>
      <c r="O409" t="s">
        <v>19</v>
      </c>
      <c r="P409" t="s">
        <v>51</v>
      </c>
    </row>
    <row r="410" spans="1:16">
      <c r="A410">
        <v>100968</v>
      </c>
      <c r="B410" s="4">
        <v>45461</v>
      </c>
      <c r="C410" t="s">
        <v>669</v>
      </c>
      <c r="D410" t="s">
        <v>39</v>
      </c>
      <c r="E410" t="s">
        <v>25</v>
      </c>
      <c r="F410" t="s">
        <v>1238</v>
      </c>
      <c r="G410" t="s">
        <v>64</v>
      </c>
      <c r="H410">
        <v>4</v>
      </c>
      <c r="I410">
        <v>172.75</v>
      </c>
      <c r="J410">
        <v>5</v>
      </c>
      <c r="K410">
        <v>656.45</v>
      </c>
      <c r="L410">
        <v>191.99</v>
      </c>
      <c r="M410">
        <v>767.96</v>
      </c>
      <c r="N410">
        <v>32</v>
      </c>
      <c r="O410" t="s">
        <v>26</v>
      </c>
      <c r="P410" t="s">
        <v>46</v>
      </c>
    </row>
    <row r="411" spans="1:16">
      <c r="A411">
        <v>101058</v>
      </c>
      <c r="B411" s="4">
        <v>45800</v>
      </c>
      <c r="C411" t="s">
        <v>666</v>
      </c>
      <c r="D411" t="s">
        <v>24</v>
      </c>
      <c r="E411" t="s">
        <v>25</v>
      </c>
      <c r="F411" t="s">
        <v>1238</v>
      </c>
      <c r="G411" t="s">
        <v>31</v>
      </c>
      <c r="H411">
        <v>4</v>
      </c>
      <c r="I411">
        <v>88.34</v>
      </c>
      <c r="J411">
        <v>20</v>
      </c>
      <c r="K411">
        <v>282.69</v>
      </c>
      <c r="L411">
        <v>73.42</v>
      </c>
      <c r="M411">
        <v>293.68</v>
      </c>
      <c r="N411">
        <v>29</v>
      </c>
      <c r="O411" t="s">
        <v>26</v>
      </c>
      <c r="P411" t="s">
        <v>35</v>
      </c>
    </row>
    <row r="412" spans="1:16">
      <c r="A412">
        <v>100169</v>
      </c>
      <c r="B412" s="4">
        <v>45235</v>
      </c>
      <c r="C412" t="s">
        <v>665</v>
      </c>
      <c r="D412" t="s">
        <v>87</v>
      </c>
      <c r="E412" t="s">
        <v>25</v>
      </c>
      <c r="F412" t="s">
        <v>1238</v>
      </c>
      <c r="G412" t="s">
        <v>31</v>
      </c>
      <c r="H412">
        <v>2</v>
      </c>
      <c r="I412">
        <v>79.33</v>
      </c>
      <c r="J412">
        <v>10</v>
      </c>
      <c r="K412">
        <v>142.79</v>
      </c>
      <c r="L412">
        <v>45.82</v>
      </c>
      <c r="M412">
        <v>91.64</v>
      </c>
      <c r="N412">
        <v>33</v>
      </c>
      <c r="O412" t="s">
        <v>26</v>
      </c>
      <c r="P412" t="s">
        <v>27</v>
      </c>
    </row>
    <row r="413" spans="1:16">
      <c r="A413">
        <v>100485</v>
      </c>
      <c r="B413" s="4">
        <v>45036</v>
      </c>
      <c r="C413" t="s">
        <v>462</v>
      </c>
      <c r="D413" t="s">
        <v>68</v>
      </c>
      <c r="E413" t="s">
        <v>25</v>
      </c>
      <c r="F413" t="s">
        <v>1237</v>
      </c>
      <c r="G413" t="s">
        <v>18</v>
      </c>
      <c r="H413">
        <v>3</v>
      </c>
      <c r="I413">
        <v>211.95</v>
      </c>
      <c r="J413">
        <v>5</v>
      </c>
      <c r="K413">
        <v>604.05999999999995</v>
      </c>
      <c r="L413">
        <v>172.89</v>
      </c>
      <c r="M413">
        <v>518.66999999999996</v>
      </c>
      <c r="N413">
        <v>37</v>
      </c>
      <c r="O413" t="s">
        <v>26</v>
      </c>
      <c r="P413" t="s">
        <v>43</v>
      </c>
    </row>
    <row r="414" spans="1:16">
      <c r="A414">
        <v>100700</v>
      </c>
      <c r="B414" s="4">
        <v>45016</v>
      </c>
      <c r="C414" t="s">
        <v>463</v>
      </c>
      <c r="D414" t="s">
        <v>24</v>
      </c>
      <c r="E414" t="s">
        <v>25</v>
      </c>
      <c r="F414" t="s">
        <v>1241</v>
      </c>
      <c r="G414" t="s">
        <v>64</v>
      </c>
      <c r="H414">
        <v>5</v>
      </c>
      <c r="I414">
        <v>89.74</v>
      </c>
      <c r="J414">
        <v>5</v>
      </c>
      <c r="K414">
        <v>426.26</v>
      </c>
      <c r="L414">
        <v>85.91</v>
      </c>
      <c r="M414">
        <v>429.54999999999995</v>
      </c>
      <c r="N414">
        <v>28</v>
      </c>
      <c r="O414" t="s">
        <v>26</v>
      </c>
      <c r="P414" t="s">
        <v>35</v>
      </c>
    </row>
    <row r="415" spans="1:16">
      <c r="A415">
        <v>101103</v>
      </c>
      <c r="B415" s="4">
        <v>45769</v>
      </c>
      <c r="C415" t="s">
        <v>664</v>
      </c>
      <c r="D415" t="s">
        <v>39</v>
      </c>
      <c r="E415" t="s">
        <v>25</v>
      </c>
      <c r="F415" t="s">
        <v>1239</v>
      </c>
      <c r="G415" t="s">
        <v>18</v>
      </c>
      <c r="H415">
        <v>5</v>
      </c>
      <c r="I415">
        <v>200.05</v>
      </c>
      <c r="J415">
        <v>0</v>
      </c>
      <c r="K415">
        <v>1000.25</v>
      </c>
      <c r="L415">
        <v>230.51</v>
      </c>
      <c r="M415">
        <v>1152.55</v>
      </c>
      <c r="N415">
        <v>26</v>
      </c>
      <c r="O415" t="s">
        <v>19</v>
      </c>
      <c r="P415" t="s">
        <v>35</v>
      </c>
    </row>
    <row r="416" spans="1:16">
      <c r="A416">
        <v>100193</v>
      </c>
      <c r="B416" s="4">
        <v>45441</v>
      </c>
      <c r="C416" t="s">
        <v>663</v>
      </c>
      <c r="D416" t="s">
        <v>42</v>
      </c>
      <c r="E416" t="s">
        <v>25</v>
      </c>
      <c r="F416" t="s">
        <v>1237</v>
      </c>
      <c r="G416" t="s">
        <v>18</v>
      </c>
      <c r="H416">
        <v>4</v>
      </c>
      <c r="I416">
        <v>172.16</v>
      </c>
      <c r="J416">
        <v>0</v>
      </c>
      <c r="K416">
        <v>688.64</v>
      </c>
      <c r="L416">
        <v>193.87</v>
      </c>
      <c r="M416">
        <v>775.48</v>
      </c>
      <c r="N416">
        <v>31</v>
      </c>
      <c r="O416" t="s">
        <v>19</v>
      </c>
      <c r="P416" t="s">
        <v>43</v>
      </c>
    </row>
    <row r="417" spans="1:16">
      <c r="A417">
        <v>100028</v>
      </c>
      <c r="B417" s="4">
        <v>45536</v>
      </c>
      <c r="C417" t="s">
        <v>661</v>
      </c>
      <c r="D417" t="s">
        <v>24</v>
      </c>
      <c r="E417" t="s">
        <v>25</v>
      </c>
      <c r="F417" t="s">
        <v>1241</v>
      </c>
      <c r="G417" t="s">
        <v>18</v>
      </c>
      <c r="H417">
        <v>5</v>
      </c>
      <c r="I417">
        <v>92.53</v>
      </c>
      <c r="J417">
        <v>0</v>
      </c>
      <c r="K417">
        <v>462.65</v>
      </c>
      <c r="L417">
        <v>134.03</v>
      </c>
      <c r="M417">
        <v>670.15</v>
      </c>
      <c r="N417">
        <v>34</v>
      </c>
      <c r="O417" t="s">
        <v>19</v>
      </c>
      <c r="P417" t="s">
        <v>51</v>
      </c>
    </row>
    <row r="418" spans="1:16">
      <c r="A418">
        <v>100339</v>
      </c>
      <c r="B418" s="4">
        <v>45198</v>
      </c>
      <c r="C418" t="s">
        <v>466</v>
      </c>
      <c r="D418" t="s">
        <v>87</v>
      </c>
      <c r="E418" t="s">
        <v>25</v>
      </c>
      <c r="F418" t="s">
        <v>1237</v>
      </c>
      <c r="G418" t="s">
        <v>18</v>
      </c>
      <c r="H418">
        <v>3</v>
      </c>
      <c r="I418">
        <v>81.069999999999993</v>
      </c>
      <c r="J418">
        <v>10</v>
      </c>
      <c r="K418">
        <v>218.89</v>
      </c>
      <c r="L418">
        <v>63.91</v>
      </c>
      <c r="M418">
        <v>191.73</v>
      </c>
      <c r="N418">
        <v>35</v>
      </c>
      <c r="O418" t="s">
        <v>19</v>
      </c>
      <c r="P418" t="s">
        <v>81</v>
      </c>
    </row>
    <row r="419" spans="1:16">
      <c r="A419">
        <v>100164</v>
      </c>
      <c r="B419" s="4">
        <v>45708</v>
      </c>
      <c r="C419" t="s">
        <v>660</v>
      </c>
      <c r="D419" t="s">
        <v>42</v>
      </c>
      <c r="E419" t="s">
        <v>25</v>
      </c>
      <c r="F419" t="s">
        <v>1239</v>
      </c>
      <c r="G419" t="s">
        <v>18</v>
      </c>
      <c r="H419">
        <v>1</v>
      </c>
      <c r="I419">
        <v>168.43</v>
      </c>
      <c r="J419">
        <v>40</v>
      </c>
      <c r="K419">
        <v>101.06</v>
      </c>
      <c r="L419">
        <v>40.479999999999997</v>
      </c>
      <c r="M419">
        <v>40.479999999999997</v>
      </c>
      <c r="N419">
        <v>16</v>
      </c>
      <c r="O419" t="s">
        <v>26</v>
      </c>
      <c r="P419" t="s">
        <v>51</v>
      </c>
    </row>
    <row r="420" spans="1:16">
      <c r="A420">
        <v>100551</v>
      </c>
      <c r="B420" s="4">
        <v>45738</v>
      </c>
      <c r="C420" t="s">
        <v>468</v>
      </c>
      <c r="D420" t="s">
        <v>42</v>
      </c>
      <c r="E420" t="s">
        <v>25</v>
      </c>
      <c r="F420" t="s">
        <v>1238</v>
      </c>
      <c r="G420" t="s">
        <v>31</v>
      </c>
      <c r="H420">
        <v>5</v>
      </c>
      <c r="I420">
        <v>160.13</v>
      </c>
      <c r="J420">
        <v>0</v>
      </c>
      <c r="K420">
        <v>800.65</v>
      </c>
      <c r="L420">
        <v>202.21</v>
      </c>
      <c r="M420">
        <v>1011.0500000000001</v>
      </c>
      <c r="N420">
        <v>43</v>
      </c>
      <c r="O420" t="s">
        <v>26</v>
      </c>
      <c r="P420" t="s">
        <v>46</v>
      </c>
    </row>
    <row r="421" spans="1:16">
      <c r="A421">
        <v>100495</v>
      </c>
      <c r="B421" s="4">
        <v>45158</v>
      </c>
      <c r="C421" t="s">
        <v>657</v>
      </c>
      <c r="D421" t="s">
        <v>100</v>
      </c>
      <c r="E421" t="s">
        <v>25</v>
      </c>
      <c r="F421" t="s">
        <v>1238</v>
      </c>
      <c r="G421" t="s">
        <v>18</v>
      </c>
      <c r="H421">
        <v>4</v>
      </c>
      <c r="I421">
        <v>122.85</v>
      </c>
      <c r="J421">
        <v>0</v>
      </c>
      <c r="K421">
        <v>491.4</v>
      </c>
      <c r="L421">
        <v>152.88</v>
      </c>
      <c r="M421">
        <v>611.52</v>
      </c>
      <c r="N421">
        <v>26</v>
      </c>
      <c r="O421" t="s">
        <v>26</v>
      </c>
      <c r="P421" t="s">
        <v>35</v>
      </c>
    </row>
    <row r="422" spans="1:16">
      <c r="A422">
        <v>100918</v>
      </c>
      <c r="B422" s="4">
        <v>45102</v>
      </c>
      <c r="C422" t="s">
        <v>656</v>
      </c>
      <c r="D422" t="s">
        <v>87</v>
      </c>
      <c r="E422" t="s">
        <v>25</v>
      </c>
      <c r="F422" t="s">
        <v>1241</v>
      </c>
      <c r="G422" t="s">
        <v>48</v>
      </c>
      <c r="H422">
        <v>3</v>
      </c>
      <c r="I422">
        <v>73.52</v>
      </c>
      <c r="J422">
        <v>0</v>
      </c>
      <c r="K422">
        <v>220.56</v>
      </c>
      <c r="L422">
        <v>53.82</v>
      </c>
      <c r="M422">
        <v>161.46</v>
      </c>
      <c r="N422">
        <v>18</v>
      </c>
      <c r="O422" t="s">
        <v>19</v>
      </c>
      <c r="P422" t="s">
        <v>81</v>
      </c>
    </row>
    <row r="423" spans="1:16">
      <c r="A423">
        <v>100665</v>
      </c>
      <c r="B423" s="4">
        <v>45494</v>
      </c>
      <c r="C423" t="s">
        <v>655</v>
      </c>
      <c r="D423" t="s">
        <v>70</v>
      </c>
      <c r="E423" t="s">
        <v>25</v>
      </c>
      <c r="F423" t="s">
        <v>1237</v>
      </c>
      <c r="G423" t="s">
        <v>18</v>
      </c>
      <c r="H423">
        <v>2</v>
      </c>
      <c r="I423">
        <v>151.47999999999999</v>
      </c>
      <c r="J423">
        <v>0</v>
      </c>
      <c r="K423">
        <v>302.95999999999998</v>
      </c>
      <c r="L423">
        <v>94.41</v>
      </c>
      <c r="M423">
        <v>188.82</v>
      </c>
      <c r="N423">
        <v>23</v>
      </c>
      <c r="O423" t="s">
        <v>26</v>
      </c>
      <c r="P423" t="s">
        <v>27</v>
      </c>
    </row>
    <row r="424" spans="1:16">
      <c r="A424">
        <v>101019</v>
      </c>
      <c r="B424" s="4">
        <v>45859</v>
      </c>
      <c r="C424" t="s">
        <v>653</v>
      </c>
      <c r="D424" t="s">
        <v>39</v>
      </c>
      <c r="E424" t="s">
        <v>25</v>
      </c>
      <c r="F424" t="s">
        <v>1237</v>
      </c>
      <c r="G424" t="s">
        <v>31</v>
      </c>
      <c r="H424">
        <v>2</v>
      </c>
      <c r="I424">
        <v>166.26</v>
      </c>
      <c r="J424">
        <v>0</v>
      </c>
      <c r="K424">
        <v>332.52</v>
      </c>
      <c r="L424">
        <v>103.33</v>
      </c>
      <c r="M424">
        <v>206.66</v>
      </c>
      <c r="N424">
        <v>36</v>
      </c>
      <c r="O424" t="s">
        <v>26</v>
      </c>
      <c r="P424" t="s">
        <v>81</v>
      </c>
    </row>
    <row r="425" spans="1:16">
      <c r="A425">
        <v>100706</v>
      </c>
      <c r="B425" s="4">
        <v>45786</v>
      </c>
      <c r="C425" t="s">
        <v>473</v>
      </c>
      <c r="D425" t="s">
        <v>68</v>
      </c>
      <c r="E425" t="s">
        <v>25</v>
      </c>
      <c r="F425" t="s">
        <v>1241</v>
      </c>
      <c r="G425" t="s">
        <v>64</v>
      </c>
      <c r="H425">
        <v>2</v>
      </c>
      <c r="I425">
        <v>203.8</v>
      </c>
      <c r="J425">
        <v>20</v>
      </c>
      <c r="K425">
        <v>326.08</v>
      </c>
      <c r="L425">
        <v>89.79</v>
      </c>
      <c r="M425">
        <v>179.58</v>
      </c>
      <c r="N425">
        <v>22</v>
      </c>
      <c r="O425" t="s">
        <v>19</v>
      </c>
      <c r="P425" t="s">
        <v>46</v>
      </c>
    </row>
    <row r="426" spans="1:16">
      <c r="A426">
        <v>100326</v>
      </c>
      <c r="B426" s="4">
        <v>45188</v>
      </c>
      <c r="C426" t="s">
        <v>652</v>
      </c>
      <c r="D426" t="s">
        <v>87</v>
      </c>
      <c r="E426" t="s">
        <v>25</v>
      </c>
      <c r="F426" t="s">
        <v>1237</v>
      </c>
      <c r="G426" t="s">
        <v>18</v>
      </c>
      <c r="H426">
        <v>3</v>
      </c>
      <c r="I426">
        <v>91.04</v>
      </c>
      <c r="J426">
        <v>0</v>
      </c>
      <c r="K426">
        <v>273.12</v>
      </c>
      <c r="L426">
        <v>74.739999999999995</v>
      </c>
      <c r="M426">
        <v>224.21999999999997</v>
      </c>
      <c r="N426">
        <v>32</v>
      </c>
      <c r="O426" t="s">
        <v>19</v>
      </c>
      <c r="P426" t="s">
        <v>81</v>
      </c>
    </row>
    <row r="427" spans="1:16">
      <c r="A427">
        <v>101132</v>
      </c>
      <c r="B427" s="4">
        <v>45837</v>
      </c>
      <c r="C427" t="s">
        <v>651</v>
      </c>
      <c r="D427" t="s">
        <v>70</v>
      </c>
      <c r="E427" t="s">
        <v>25</v>
      </c>
      <c r="F427" t="s">
        <v>1241</v>
      </c>
      <c r="G427" t="s">
        <v>18</v>
      </c>
      <c r="H427">
        <v>2</v>
      </c>
      <c r="I427">
        <v>150.02000000000001</v>
      </c>
      <c r="J427">
        <v>0</v>
      </c>
      <c r="K427">
        <v>300.04000000000002</v>
      </c>
      <c r="L427">
        <v>113.01</v>
      </c>
      <c r="M427">
        <v>226.02</v>
      </c>
      <c r="N427">
        <v>41</v>
      </c>
      <c r="O427" t="s">
        <v>19</v>
      </c>
      <c r="P427" t="s">
        <v>43</v>
      </c>
    </row>
    <row r="428" spans="1:16">
      <c r="A428">
        <v>100768</v>
      </c>
      <c r="B428" s="4">
        <v>45150</v>
      </c>
      <c r="C428" t="s">
        <v>476</v>
      </c>
      <c r="D428" t="s">
        <v>68</v>
      </c>
      <c r="E428" t="s">
        <v>25</v>
      </c>
      <c r="F428" t="s">
        <v>1241</v>
      </c>
      <c r="G428" t="s">
        <v>18</v>
      </c>
      <c r="H428">
        <v>3</v>
      </c>
      <c r="I428">
        <v>238.57</v>
      </c>
      <c r="J428">
        <v>10</v>
      </c>
      <c r="K428">
        <v>644.14</v>
      </c>
      <c r="L428">
        <v>187.22</v>
      </c>
      <c r="M428">
        <v>561.66</v>
      </c>
      <c r="N428">
        <v>39</v>
      </c>
      <c r="O428" t="s">
        <v>26</v>
      </c>
      <c r="P428" t="s">
        <v>81</v>
      </c>
    </row>
    <row r="429" spans="1:16">
      <c r="A429">
        <v>100869</v>
      </c>
      <c r="B429" s="4">
        <v>44931</v>
      </c>
      <c r="C429" t="s">
        <v>477</v>
      </c>
      <c r="D429" t="s">
        <v>39</v>
      </c>
      <c r="E429" t="s">
        <v>25</v>
      </c>
      <c r="F429" t="s">
        <v>1238</v>
      </c>
      <c r="G429" t="s">
        <v>48</v>
      </c>
      <c r="H429">
        <v>4</v>
      </c>
      <c r="I429">
        <v>179.15</v>
      </c>
      <c r="J429">
        <v>0</v>
      </c>
      <c r="K429">
        <v>716.6</v>
      </c>
      <c r="L429">
        <v>314.19</v>
      </c>
      <c r="M429">
        <v>1256.76</v>
      </c>
      <c r="N429">
        <v>25</v>
      </c>
      <c r="O429" t="s">
        <v>19</v>
      </c>
      <c r="P429" t="s">
        <v>32</v>
      </c>
    </row>
    <row r="430" spans="1:16">
      <c r="A430">
        <v>100761</v>
      </c>
      <c r="B430" s="4">
        <v>45807</v>
      </c>
      <c r="C430" t="s">
        <v>478</v>
      </c>
      <c r="D430" t="s">
        <v>24</v>
      </c>
      <c r="E430" t="s">
        <v>25</v>
      </c>
      <c r="F430" t="s">
        <v>1239</v>
      </c>
      <c r="G430" t="s">
        <v>18</v>
      </c>
      <c r="H430">
        <v>3</v>
      </c>
      <c r="I430">
        <v>107.31</v>
      </c>
      <c r="J430">
        <v>0</v>
      </c>
      <c r="K430">
        <v>321.93</v>
      </c>
      <c r="L430">
        <v>90.73</v>
      </c>
      <c r="M430">
        <v>272.19</v>
      </c>
      <c r="N430">
        <v>16</v>
      </c>
      <c r="O430" t="s">
        <v>26</v>
      </c>
      <c r="P430" t="s">
        <v>35</v>
      </c>
    </row>
    <row r="431" spans="1:16">
      <c r="A431">
        <v>100450</v>
      </c>
      <c r="B431" s="4">
        <v>45568</v>
      </c>
      <c r="C431" t="s">
        <v>638</v>
      </c>
      <c r="D431" t="s">
        <v>24</v>
      </c>
      <c r="E431" t="s">
        <v>25</v>
      </c>
      <c r="F431" t="s">
        <v>1237</v>
      </c>
      <c r="G431" t="s">
        <v>18</v>
      </c>
      <c r="H431">
        <v>1</v>
      </c>
      <c r="I431">
        <v>89.51</v>
      </c>
      <c r="J431">
        <v>20</v>
      </c>
      <c r="K431">
        <v>71.61</v>
      </c>
      <c r="L431">
        <v>22.12</v>
      </c>
      <c r="M431">
        <v>22.12</v>
      </c>
      <c r="N431">
        <v>29</v>
      </c>
      <c r="O431" t="s">
        <v>19</v>
      </c>
      <c r="P431" t="s">
        <v>27</v>
      </c>
    </row>
    <row r="432" spans="1:16">
      <c r="A432">
        <v>100475</v>
      </c>
      <c r="B432" s="4">
        <v>45176</v>
      </c>
      <c r="C432" t="s">
        <v>594</v>
      </c>
      <c r="D432" t="s">
        <v>70</v>
      </c>
      <c r="E432" t="s">
        <v>25</v>
      </c>
      <c r="F432" t="s">
        <v>1237</v>
      </c>
      <c r="G432" t="s">
        <v>18</v>
      </c>
      <c r="H432">
        <v>2</v>
      </c>
      <c r="I432">
        <v>161.02000000000001</v>
      </c>
      <c r="J432">
        <v>10</v>
      </c>
      <c r="K432">
        <v>289.83999999999997</v>
      </c>
      <c r="L432">
        <v>76.67</v>
      </c>
      <c r="M432">
        <v>153.34</v>
      </c>
      <c r="N432">
        <v>19</v>
      </c>
      <c r="O432" t="s">
        <v>26</v>
      </c>
      <c r="P432" t="s">
        <v>35</v>
      </c>
    </row>
    <row r="433" spans="1:16">
      <c r="A433">
        <v>100165</v>
      </c>
      <c r="B433" s="4">
        <v>45879</v>
      </c>
      <c r="C433" t="s">
        <v>481</v>
      </c>
      <c r="D433" t="s">
        <v>39</v>
      </c>
      <c r="E433" t="s">
        <v>25</v>
      </c>
      <c r="F433" t="s">
        <v>1238</v>
      </c>
      <c r="G433" t="s">
        <v>18</v>
      </c>
      <c r="H433">
        <v>3</v>
      </c>
      <c r="I433">
        <v>161.88999999999999</v>
      </c>
      <c r="J433">
        <v>5</v>
      </c>
      <c r="K433">
        <v>461.39</v>
      </c>
      <c r="L433">
        <v>126.48</v>
      </c>
      <c r="M433">
        <v>379.44</v>
      </c>
      <c r="N433">
        <v>31</v>
      </c>
      <c r="O433" t="s">
        <v>26</v>
      </c>
      <c r="P433" t="s">
        <v>27</v>
      </c>
    </row>
    <row r="434" spans="1:16">
      <c r="A434">
        <v>100248</v>
      </c>
      <c r="B434" s="4">
        <v>45237</v>
      </c>
      <c r="C434" t="s">
        <v>482</v>
      </c>
      <c r="D434" t="s">
        <v>39</v>
      </c>
      <c r="E434" t="s">
        <v>25</v>
      </c>
      <c r="F434" t="s">
        <v>1241</v>
      </c>
      <c r="G434" t="s">
        <v>31</v>
      </c>
      <c r="H434">
        <v>2</v>
      </c>
      <c r="I434">
        <v>200.02</v>
      </c>
      <c r="J434">
        <v>20</v>
      </c>
      <c r="K434">
        <v>320.02999999999997</v>
      </c>
      <c r="L434">
        <v>104.93</v>
      </c>
      <c r="M434">
        <v>209.86</v>
      </c>
      <c r="N434">
        <v>21</v>
      </c>
      <c r="O434" t="s">
        <v>19</v>
      </c>
      <c r="P434" t="s">
        <v>46</v>
      </c>
    </row>
    <row r="435" spans="1:16">
      <c r="A435">
        <v>101133</v>
      </c>
      <c r="B435" s="4">
        <v>45044</v>
      </c>
      <c r="C435" t="s">
        <v>634</v>
      </c>
      <c r="D435" t="s">
        <v>42</v>
      </c>
      <c r="E435" t="s">
        <v>25</v>
      </c>
      <c r="F435" t="s">
        <v>1238</v>
      </c>
      <c r="G435" t="s">
        <v>18</v>
      </c>
      <c r="H435">
        <v>4</v>
      </c>
      <c r="I435">
        <v>173.06</v>
      </c>
      <c r="J435">
        <v>0</v>
      </c>
      <c r="K435">
        <v>692.24</v>
      </c>
      <c r="L435">
        <v>210.25</v>
      </c>
      <c r="M435">
        <v>841</v>
      </c>
      <c r="N435">
        <v>38</v>
      </c>
      <c r="O435" t="s">
        <v>26</v>
      </c>
      <c r="P435" t="s">
        <v>51</v>
      </c>
    </row>
    <row r="436" spans="1:16">
      <c r="A436">
        <v>100447</v>
      </c>
      <c r="B436" s="4">
        <v>45501</v>
      </c>
      <c r="C436" t="s">
        <v>484</v>
      </c>
      <c r="D436" t="s">
        <v>39</v>
      </c>
      <c r="E436" t="s">
        <v>25</v>
      </c>
      <c r="F436" t="s">
        <v>1238</v>
      </c>
      <c r="G436" t="s">
        <v>18</v>
      </c>
      <c r="H436">
        <v>2</v>
      </c>
      <c r="I436">
        <v>181.12</v>
      </c>
      <c r="J436">
        <v>10</v>
      </c>
      <c r="K436">
        <v>326.02</v>
      </c>
      <c r="L436">
        <v>122.48</v>
      </c>
      <c r="M436">
        <v>244.96</v>
      </c>
      <c r="N436">
        <v>25</v>
      </c>
      <c r="O436" t="s">
        <v>19</v>
      </c>
      <c r="P436" t="s">
        <v>51</v>
      </c>
    </row>
    <row r="437" spans="1:16">
      <c r="A437">
        <v>100000</v>
      </c>
      <c r="B437" s="4">
        <v>45581</v>
      </c>
      <c r="C437" t="s">
        <v>632</v>
      </c>
      <c r="D437" t="s">
        <v>87</v>
      </c>
      <c r="E437" t="s">
        <v>25</v>
      </c>
      <c r="F437" t="s">
        <v>1241</v>
      </c>
      <c r="G437" t="s">
        <v>18</v>
      </c>
      <c r="H437">
        <v>3</v>
      </c>
      <c r="I437">
        <v>88.38</v>
      </c>
      <c r="J437">
        <v>10</v>
      </c>
      <c r="K437">
        <v>238.63</v>
      </c>
      <c r="L437">
        <v>69.94</v>
      </c>
      <c r="M437">
        <v>209.82</v>
      </c>
      <c r="N437">
        <v>32</v>
      </c>
      <c r="O437" t="s">
        <v>19</v>
      </c>
      <c r="P437" t="s">
        <v>27</v>
      </c>
    </row>
    <row r="438" spans="1:16">
      <c r="A438">
        <v>100334</v>
      </c>
      <c r="B438" s="4">
        <v>45911</v>
      </c>
      <c r="C438" t="s">
        <v>486</v>
      </c>
      <c r="D438" t="s">
        <v>70</v>
      </c>
      <c r="E438" t="s">
        <v>25</v>
      </c>
      <c r="F438" t="s">
        <v>1241</v>
      </c>
      <c r="G438" t="s">
        <v>18</v>
      </c>
      <c r="H438">
        <v>1</v>
      </c>
      <c r="I438">
        <v>150.91</v>
      </c>
      <c r="J438">
        <v>0</v>
      </c>
      <c r="K438">
        <v>150.91</v>
      </c>
      <c r="L438">
        <v>33.19</v>
      </c>
      <c r="M438">
        <v>33.19</v>
      </c>
      <c r="N438">
        <v>27</v>
      </c>
      <c r="O438" t="s">
        <v>26</v>
      </c>
      <c r="P438" t="s">
        <v>51</v>
      </c>
    </row>
    <row r="439" spans="1:16">
      <c r="A439">
        <v>100285</v>
      </c>
      <c r="B439" s="4">
        <v>45234</v>
      </c>
      <c r="C439" t="s">
        <v>487</v>
      </c>
      <c r="D439" t="s">
        <v>70</v>
      </c>
      <c r="E439" t="s">
        <v>25</v>
      </c>
      <c r="F439" t="s">
        <v>1241</v>
      </c>
      <c r="G439" t="s">
        <v>48</v>
      </c>
      <c r="H439">
        <v>3</v>
      </c>
      <c r="I439">
        <v>157.11000000000001</v>
      </c>
      <c r="J439">
        <v>0</v>
      </c>
      <c r="K439">
        <v>471.33</v>
      </c>
      <c r="L439">
        <v>167.7</v>
      </c>
      <c r="M439">
        <v>503.09999999999997</v>
      </c>
      <c r="N439">
        <v>24</v>
      </c>
      <c r="O439" t="s">
        <v>19</v>
      </c>
      <c r="P439" t="s">
        <v>35</v>
      </c>
    </row>
    <row r="440" spans="1:16">
      <c r="A440">
        <v>100386</v>
      </c>
      <c r="B440" s="4">
        <v>45693</v>
      </c>
      <c r="C440" t="s">
        <v>631</v>
      </c>
      <c r="D440" t="s">
        <v>24</v>
      </c>
      <c r="E440" t="s">
        <v>25</v>
      </c>
      <c r="F440" t="s">
        <v>1238</v>
      </c>
      <c r="G440" t="s">
        <v>18</v>
      </c>
      <c r="H440">
        <v>2</v>
      </c>
      <c r="I440">
        <v>90</v>
      </c>
      <c r="J440">
        <v>5</v>
      </c>
      <c r="K440">
        <v>171</v>
      </c>
      <c r="L440">
        <v>48.7</v>
      </c>
      <c r="M440">
        <v>97.4</v>
      </c>
      <c r="N440">
        <v>26</v>
      </c>
      <c r="O440" t="s">
        <v>19</v>
      </c>
      <c r="P440" t="s">
        <v>51</v>
      </c>
    </row>
    <row r="441" spans="1:16">
      <c r="A441">
        <v>100876</v>
      </c>
      <c r="B441" s="4">
        <v>45690</v>
      </c>
      <c r="C441" t="s">
        <v>627</v>
      </c>
      <c r="D441" t="s">
        <v>24</v>
      </c>
      <c r="E441" t="s">
        <v>25</v>
      </c>
      <c r="F441" t="s">
        <v>1240</v>
      </c>
      <c r="G441" t="s">
        <v>48</v>
      </c>
      <c r="H441">
        <v>2</v>
      </c>
      <c r="I441">
        <v>101.82</v>
      </c>
      <c r="J441">
        <v>10</v>
      </c>
      <c r="K441">
        <v>183.28</v>
      </c>
      <c r="L441">
        <v>65.34</v>
      </c>
      <c r="M441">
        <v>130.68</v>
      </c>
      <c r="N441">
        <v>24</v>
      </c>
      <c r="O441" t="s">
        <v>19</v>
      </c>
      <c r="P441" t="s">
        <v>20</v>
      </c>
    </row>
    <row r="442" spans="1:16">
      <c r="A442">
        <v>100707</v>
      </c>
      <c r="B442" s="4">
        <v>45115</v>
      </c>
      <c r="C442" t="s">
        <v>620</v>
      </c>
      <c r="D442" t="s">
        <v>73</v>
      </c>
      <c r="E442" t="s">
        <v>25</v>
      </c>
      <c r="F442" t="s">
        <v>1241</v>
      </c>
      <c r="G442" t="s">
        <v>18</v>
      </c>
      <c r="H442">
        <v>1</v>
      </c>
      <c r="I442">
        <v>35.89</v>
      </c>
      <c r="J442">
        <v>0</v>
      </c>
      <c r="K442">
        <v>35.89</v>
      </c>
      <c r="L442">
        <v>11.09</v>
      </c>
      <c r="M442">
        <v>11.09</v>
      </c>
      <c r="N442">
        <v>40</v>
      </c>
      <c r="O442" t="s">
        <v>26</v>
      </c>
      <c r="P442" t="s">
        <v>43</v>
      </c>
    </row>
    <row r="443" spans="1:16">
      <c r="A443">
        <v>101036</v>
      </c>
      <c r="B443" s="4">
        <v>45417</v>
      </c>
      <c r="C443" t="s">
        <v>491</v>
      </c>
      <c r="D443" t="s">
        <v>70</v>
      </c>
      <c r="E443" t="s">
        <v>25</v>
      </c>
      <c r="F443" t="s">
        <v>1237</v>
      </c>
      <c r="G443" t="s">
        <v>18</v>
      </c>
      <c r="H443">
        <v>5</v>
      </c>
      <c r="I443">
        <v>165.79</v>
      </c>
      <c r="J443">
        <v>0</v>
      </c>
      <c r="K443">
        <v>828.95</v>
      </c>
      <c r="L443">
        <v>257.41000000000003</v>
      </c>
      <c r="M443">
        <v>1287.0500000000002</v>
      </c>
      <c r="N443">
        <v>29</v>
      </c>
      <c r="O443" t="s">
        <v>26</v>
      </c>
      <c r="P443" t="s">
        <v>20</v>
      </c>
    </row>
    <row r="444" spans="1:16">
      <c r="A444">
        <v>100591</v>
      </c>
      <c r="B444" s="4">
        <v>45020</v>
      </c>
      <c r="C444" t="s">
        <v>619</v>
      </c>
      <c r="D444" t="s">
        <v>87</v>
      </c>
      <c r="E444" t="s">
        <v>25</v>
      </c>
      <c r="F444" t="s">
        <v>1237</v>
      </c>
      <c r="G444" t="s">
        <v>18</v>
      </c>
      <c r="H444">
        <v>4</v>
      </c>
      <c r="I444">
        <v>85.74</v>
      </c>
      <c r="J444">
        <v>0</v>
      </c>
      <c r="K444">
        <v>342.96</v>
      </c>
      <c r="L444">
        <v>95.02</v>
      </c>
      <c r="M444">
        <v>380.08</v>
      </c>
      <c r="N444">
        <v>24</v>
      </c>
      <c r="O444" t="s">
        <v>19</v>
      </c>
      <c r="P444" t="s">
        <v>35</v>
      </c>
    </row>
    <row r="445" spans="1:16">
      <c r="A445">
        <v>100148</v>
      </c>
      <c r="B445" s="4">
        <v>45377</v>
      </c>
      <c r="C445" t="s">
        <v>618</v>
      </c>
      <c r="D445" t="s">
        <v>24</v>
      </c>
      <c r="E445" t="s">
        <v>25</v>
      </c>
      <c r="F445" t="s">
        <v>1237</v>
      </c>
      <c r="G445" t="s">
        <v>31</v>
      </c>
      <c r="H445">
        <v>4</v>
      </c>
      <c r="I445">
        <v>99.25</v>
      </c>
      <c r="J445">
        <v>5</v>
      </c>
      <c r="K445">
        <v>377.15</v>
      </c>
      <c r="L445">
        <v>133.53</v>
      </c>
      <c r="M445">
        <v>534.12</v>
      </c>
      <c r="N445">
        <v>33</v>
      </c>
      <c r="O445" t="s">
        <v>19</v>
      </c>
      <c r="P445" t="s">
        <v>43</v>
      </c>
    </row>
    <row r="446" spans="1:16">
      <c r="A446">
        <v>100944</v>
      </c>
      <c r="B446" s="4">
        <v>45311</v>
      </c>
      <c r="C446" t="s">
        <v>494</v>
      </c>
      <c r="D446" t="s">
        <v>73</v>
      </c>
      <c r="E446" t="s">
        <v>25</v>
      </c>
      <c r="F446" t="s">
        <v>1241</v>
      </c>
      <c r="G446" t="s">
        <v>31</v>
      </c>
      <c r="H446">
        <v>3</v>
      </c>
      <c r="I446">
        <v>37.57</v>
      </c>
      <c r="J446">
        <v>0</v>
      </c>
      <c r="K446">
        <v>112.71</v>
      </c>
      <c r="L446">
        <v>45.41</v>
      </c>
      <c r="M446">
        <v>136.22999999999999</v>
      </c>
      <c r="N446">
        <v>28</v>
      </c>
      <c r="O446" t="s">
        <v>122</v>
      </c>
      <c r="P446" t="s">
        <v>46</v>
      </c>
    </row>
    <row r="447" spans="1:16">
      <c r="A447">
        <v>100613</v>
      </c>
      <c r="B447" s="4">
        <v>45445</v>
      </c>
      <c r="C447" t="s">
        <v>495</v>
      </c>
      <c r="D447" t="s">
        <v>39</v>
      </c>
      <c r="E447" t="s">
        <v>25</v>
      </c>
      <c r="F447" t="s">
        <v>1239</v>
      </c>
      <c r="G447" t="s">
        <v>18</v>
      </c>
      <c r="H447">
        <v>1</v>
      </c>
      <c r="I447">
        <v>169.09</v>
      </c>
      <c r="J447">
        <v>0</v>
      </c>
      <c r="K447">
        <v>169.09</v>
      </c>
      <c r="L447">
        <v>60.62</v>
      </c>
      <c r="M447">
        <v>60.62</v>
      </c>
      <c r="N447">
        <v>31</v>
      </c>
      <c r="O447" t="s">
        <v>26</v>
      </c>
      <c r="P447" t="s">
        <v>46</v>
      </c>
    </row>
    <row r="448" spans="1:16">
      <c r="A448">
        <v>100228</v>
      </c>
      <c r="B448" s="4">
        <v>45303</v>
      </c>
      <c r="C448" t="s">
        <v>614</v>
      </c>
      <c r="D448" t="s">
        <v>100</v>
      </c>
      <c r="E448" t="s">
        <v>25</v>
      </c>
      <c r="F448" t="s">
        <v>1240</v>
      </c>
      <c r="G448" t="s">
        <v>31</v>
      </c>
      <c r="H448">
        <v>3</v>
      </c>
      <c r="I448">
        <v>142.54</v>
      </c>
      <c r="J448">
        <v>20</v>
      </c>
      <c r="K448">
        <v>342.1</v>
      </c>
      <c r="L448">
        <v>109.2</v>
      </c>
      <c r="M448">
        <v>327.60000000000002</v>
      </c>
      <c r="N448">
        <v>18</v>
      </c>
      <c r="O448" t="s">
        <v>26</v>
      </c>
      <c r="P448" t="s">
        <v>43</v>
      </c>
    </row>
    <row r="449" spans="1:16">
      <c r="A449">
        <v>100757</v>
      </c>
      <c r="B449" s="4">
        <v>45206</v>
      </c>
      <c r="C449" t="s">
        <v>497</v>
      </c>
      <c r="D449" t="s">
        <v>24</v>
      </c>
      <c r="E449" t="s">
        <v>25</v>
      </c>
      <c r="F449" t="s">
        <v>1238</v>
      </c>
      <c r="G449" t="s">
        <v>18</v>
      </c>
      <c r="H449">
        <v>3</v>
      </c>
      <c r="I449">
        <v>91.85</v>
      </c>
      <c r="J449">
        <v>0</v>
      </c>
      <c r="K449">
        <v>275.55</v>
      </c>
      <c r="L449">
        <v>101.54</v>
      </c>
      <c r="M449">
        <v>304.62</v>
      </c>
      <c r="N449">
        <v>16</v>
      </c>
      <c r="O449" t="s">
        <v>26</v>
      </c>
      <c r="P449" t="s">
        <v>27</v>
      </c>
    </row>
    <row r="450" spans="1:16">
      <c r="A450">
        <v>100688</v>
      </c>
      <c r="B450" s="4">
        <v>45809</v>
      </c>
      <c r="C450" t="s">
        <v>498</v>
      </c>
      <c r="D450" t="s">
        <v>73</v>
      </c>
      <c r="E450" t="s">
        <v>25</v>
      </c>
      <c r="F450" t="s">
        <v>1239</v>
      </c>
      <c r="G450" t="s">
        <v>18</v>
      </c>
      <c r="H450">
        <v>3</v>
      </c>
      <c r="I450">
        <v>32.26</v>
      </c>
      <c r="J450">
        <v>0</v>
      </c>
      <c r="K450">
        <v>96.78</v>
      </c>
      <c r="L450">
        <v>35.840000000000003</v>
      </c>
      <c r="M450">
        <v>107.52000000000001</v>
      </c>
      <c r="N450">
        <v>37</v>
      </c>
      <c r="O450" t="s">
        <v>19</v>
      </c>
      <c r="P450" t="s">
        <v>51</v>
      </c>
    </row>
    <row r="451" spans="1:16">
      <c r="A451">
        <v>100440</v>
      </c>
      <c r="B451" s="4">
        <v>45636</v>
      </c>
      <c r="C451" t="s">
        <v>611</v>
      </c>
      <c r="D451" t="s">
        <v>70</v>
      </c>
      <c r="E451" t="s">
        <v>25</v>
      </c>
      <c r="F451" t="s">
        <v>1238</v>
      </c>
      <c r="G451" t="s">
        <v>64</v>
      </c>
      <c r="H451">
        <v>4</v>
      </c>
      <c r="I451">
        <v>147.13999999999999</v>
      </c>
      <c r="J451">
        <v>0</v>
      </c>
      <c r="K451">
        <v>588.55999999999995</v>
      </c>
      <c r="L451">
        <v>184.48</v>
      </c>
      <c r="M451">
        <v>737.92</v>
      </c>
      <c r="N451">
        <v>21</v>
      </c>
      <c r="O451" t="s">
        <v>19</v>
      </c>
      <c r="P451" t="s">
        <v>43</v>
      </c>
    </row>
    <row r="452" spans="1:16">
      <c r="A452">
        <v>100793</v>
      </c>
      <c r="B452" s="4">
        <v>45162</v>
      </c>
      <c r="C452" t="s">
        <v>500</v>
      </c>
      <c r="D452" t="s">
        <v>42</v>
      </c>
      <c r="E452" t="s">
        <v>25</v>
      </c>
      <c r="F452" t="s">
        <v>1241</v>
      </c>
      <c r="G452" t="s">
        <v>31</v>
      </c>
      <c r="H452">
        <v>2</v>
      </c>
      <c r="I452">
        <v>166.46</v>
      </c>
      <c r="J452">
        <v>10</v>
      </c>
      <c r="K452">
        <v>299.63</v>
      </c>
      <c r="L452">
        <v>111.39</v>
      </c>
      <c r="M452">
        <v>222.78</v>
      </c>
      <c r="N452">
        <v>27</v>
      </c>
      <c r="O452" t="s">
        <v>26</v>
      </c>
      <c r="P452" t="s">
        <v>46</v>
      </c>
    </row>
    <row r="453" spans="1:16">
      <c r="A453">
        <v>101140</v>
      </c>
      <c r="B453" s="4">
        <v>45336</v>
      </c>
      <c r="C453" t="s">
        <v>610</v>
      </c>
      <c r="D453" t="s">
        <v>24</v>
      </c>
      <c r="E453" t="s">
        <v>25</v>
      </c>
      <c r="F453" t="s">
        <v>1238</v>
      </c>
      <c r="G453" t="s">
        <v>31</v>
      </c>
      <c r="H453">
        <v>4</v>
      </c>
      <c r="I453">
        <v>89.18</v>
      </c>
      <c r="J453">
        <v>0</v>
      </c>
      <c r="K453">
        <v>356.72</v>
      </c>
      <c r="L453">
        <v>105.33</v>
      </c>
      <c r="M453">
        <v>421.32</v>
      </c>
      <c r="N453">
        <v>30</v>
      </c>
      <c r="O453" t="s">
        <v>26</v>
      </c>
      <c r="P453" t="s">
        <v>46</v>
      </c>
    </row>
    <row r="454" spans="1:16">
      <c r="A454">
        <v>100567</v>
      </c>
      <c r="B454" s="4">
        <v>45684</v>
      </c>
      <c r="C454" t="s">
        <v>502</v>
      </c>
      <c r="D454" t="s">
        <v>70</v>
      </c>
      <c r="E454" t="s">
        <v>25</v>
      </c>
      <c r="F454" t="s">
        <v>1237</v>
      </c>
      <c r="G454" t="s">
        <v>18</v>
      </c>
      <c r="H454">
        <v>3</v>
      </c>
      <c r="I454">
        <v>150.63999999999999</v>
      </c>
      <c r="J454">
        <v>20</v>
      </c>
      <c r="K454">
        <v>361.54</v>
      </c>
      <c r="L454">
        <v>91.06</v>
      </c>
      <c r="M454">
        <v>273.18</v>
      </c>
      <c r="N454">
        <v>28</v>
      </c>
      <c r="O454" t="s">
        <v>19</v>
      </c>
      <c r="P454" t="s">
        <v>20</v>
      </c>
    </row>
    <row r="455" spans="1:16">
      <c r="A455">
        <v>100731</v>
      </c>
      <c r="B455" s="4">
        <v>45407</v>
      </c>
      <c r="C455" t="s">
        <v>608</v>
      </c>
      <c r="D455" t="s">
        <v>87</v>
      </c>
      <c r="E455" t="s">
        <v>25</v>
      </c>
      <c r="F455" t="s">
        <v>1241</v>
      </c>
      <c r="G455" t="s">
        <v>18</v>
      </c>
      <c r="H455">
        <v>2</v>
      </c>
      <c r="I455">
        <v>96.02</v>
      </c>
      <c r="J455">
        <v>0</v>
      </c>
      <c r="K455">
        <v>192.04</v>
      </c>
      <c r="L455">
        <v>56.49</v>
      </c>
      <c r="M455">
        <v>112.98</v>
      </c>
      <c r="N455">
        <v>43</v>
      </c>
      <c r="O455" t="s">
        <v>26</v>
      </c>
      <c r="P455" t="s">
        <v>27</v>
      </c>
    </row>
    <row r="456" spans="1:16">
      <c r="A456">
        <v>101098</v>
      </c>
      <c r="B456" s="4">
        <v>45392</v>
      </c>
      <c r="C456" t="s">
        <v>504</v>
      </c>
      <c r="D456" t="s">
        <v>70</v>
      </c>
      <c r="E456" t="s">
        <v>25</v>
      </c>
      <c r="F456" t="s">
        <v>1240</v>
      </c>
      <c r="G456" t="s">
        <v>18</v>
      </c>
      <c r="H456">
        <v>3</v>
      </c>
      <c r="I456">
        <v>146.38999999999999</v>
      </c>
      <c r="J456">
        <v>0</v>
      </c>
      <c r="K456">
        <v>439.17</v>
      </c>
      <c r="L456">
        <v>117.89</v>
      </c>
      <c r="M456">
        <v>353.67</v>
      </c>
      <c r="N456">
        <v>18</v>
      </c>
      <c r="O456" t="s">
        <v>26</v>
      </c>
      <c r="P456" t="s">
        <v>81</v>
      </c>
    </row>
    <row r="457" spans="1:16">
      <c r="A457">
        <v>100890</v>
      </c>
      <c r="B457" s="4">
        <v>45243</v>
      </c>
      <c r="C457" t="s">
        <v>602</v>
      </c>
      <c r="D457" t="s">
        <v>100</v>
      </c>
      <c r="E457" t="s">
        <v>25</v>
      </c>
      <c r="F457" t="s">
        <v>1238</v>
      </c>
      <c r="G457" t="s">
        <v>18</v>
      </c>
      <c r="H457">
        <v>1</v>
      </c>
      <c r="I457">
        <v>136.99</v>
      </c>
      <c r="J457">
        <v>5</v>
      </c>
      <c r="K457">
        <v>130.13999999999999</v>
      </c>
      <c r="L457">
        <v>41.54</v>
      </c>
      <c r="M457">
        <v>41.54</v>
      </c>
      <c r="N457">
        <v>32</v>
      </c>
      <c r="O457" t="s">
        <v>19</v>
      </c>
      <c r="P457" t="s">
        <v>35</v>
      </c>
    </row>
    <row r="458" spans="1:16">
      <c r="A458">
        <v>100254</v>
      </c>
      <c r="B458" s="4">
        <v>45463</v>
      </c>
      <c r="C458" t="s">
        <v>506</v>
      </c>
      <c r="D458" t="s">
        <v>70</v>
      </c>
      <c r="E458" t="s">
        <v>25</v>
      </c>
      <c r="F458" t="s">
        <v>1241</v>
      </c>
      <c r="G458" t="s">
        <v>48</v>
      </c>
      <c r="H458">
        <v>5</v>
      </c>
      <c r="I458">
        <v>145.34</v>
      </c>
      <c r="J458">
        <v>0</v>
      </c>
      <c r="K458">
        <v>726.7</v>
      </c>
      <c r="L458">
        <v>224.2</v>
      </c>
      <c r="M458">
        <v>1121</v>
      </c>
      <c r="N458">
        <v>33</v>
      </c>
      <c r="O458" t="s">
        <v>26</v>
      </c>
      <c r="P458" t="s">
        <v>81</v>
      </c>
    </row>
    <row r="459" spans="1:16">
      <c r="A459">
        <v>100829</v>
      </c>
      <c r="B459" s="4">
        <v>45052</v>
      </c>
      <c r="C459" t="s">
        <v>600</v>
      </c>
      <c r="D459" t="s">
        <v>73</v>
      </c>
      <c r="E459" t="s">
        <v>25</v>
      </c>
      <c r="F459" t="s">
        <v>1238</v>
      </c>
      <c r="G459" t="s">
        <v>31</v>
      </c>
      <c r="H459">
        <v>2</v>
      </c>
      <c r="I459">
        <v>33.950000000000003</v>
      </c>
      <c r="J459">
        <v>5</v>
      </c>
      <c r="K459">
        <v>64.5</v>
      </c>
      <c r="L459">
        <v>22.58</v>
      </c>
      <c r="M459">
        <v>45.16</v>
      </c>
      <c r="N459">
        <v>32</v>
      </c>
      <c r="O459" t="s">
        <v>26</v>
      </c>
      <c r="P459" t="s">
        <v>46</v>
      </c>
    </row>
    <row r="460" spans="1:16">
      <c r="A460">
        <v>100704</v>
      </c>
      <c r="B460" s="4">
        <v>45507</v>
      </c>
      <c r="C460" t="s">
        <v>599</v>
      </c>
      <c r="D460" t="s">
        <v>68</v>
      </c>
      <c r="E460" t="s">
        <v>25</v>
      </c>
      <c r="F460" t="s">
        <v>1238</v>
      </c>
      <c r="G460" t="s">
        <v>31</v>
      </c>
      <c r="H460">
        <v>2</v>
      </c>
      <c r="I460">
        <v>224.14</v>
      </c>
      <c r="J460">
        <v>0</v>
      </c>
      <c r="K460">
        <v>448.28</v>
      </c>
      <c r="L460">
        <v>104.77</v>
      </c>
      <c r="M460">
        <v>209.54</v>
      </c>
      <c r="N460">
        <v>37</v>
      </c>
      <c r="O460" t="s">
        <v>26</v>
      </c>
      <c r="P460" t="s">
        <v>43</v>
      </c>
    </row>
    <row r="461" spans="1:16">
      <c r="A461">
        <v>101194</v>
      </c>
      <c r="B461" s="4">
        <v>45034</v>
      </c>
      <c r="C461" t="s">
        <v>593</v>
      </c>
      <c r="D461" t="s">
        <v>42</v>
      </c>
      <c r="E461" t="s">
        <v>25</v>
      </c>
      <c r="F461" t="s">
        <v>1238</v>
      </c>
      <c r="G461" t="s">
        <v>64</v>
      </c>
      <c r="H461">
        <v>3</v>
      </c>
      <c r="I461">
        <v>171.62</v>
      </c>
      <c r="J461">
        <v>0</v>
      </c>
      <c r="K461">
        <v>514.86</v>
      </c>
      <c r="L461">
        <v>167.49</v>
      </c>
      <c r="M461">
        <v>502.47</v>
      </c>
      <c r="N461">
        <v>28</v>
      </c>
      <c r="O461" t="s">
        <v>19</v>
      </c>
      <c r="P461" t="s">
        <v>81</v>
      </c>
    </row>
    <row r="462" spans="1:16">
      <c r="A462">
        <v>101158</v>
      </c>
      <c r="B462" s="4">
        <v>45442</v>
      </c>
      <c r="C462" t="s">
        <v>590</v>
      </c>
      <c r="D462" t="s">
        <v>100</v>
      </c>
      <c r="E462" t="s">
        <v>25</v>
      </c>
      <c r="F462" t="s">
        <v>1238</v>
      </c>
      <c r="G462" t="s">
        <v>48</v>
      </c>
      <c r="H462">
        <v>2</v>
      </c>
      <c r="I462">
        <v>133.51</v>
      </c>
      <c r="J462">
        <v>5</v>
      </c>
      <c r="K462">
        <v>253.67</v>
      </c>
      <c r="L462">
        <v>72.760000000000005</v>
      </c>
      <c r="M462">
        <v>145.52000000000001</v>
      </c>
      <c r="N462">
        <v>42</v>
      </c>
      <c r="O462" t="s">
        <v>26</v>
      </c>
      <c r="P462" t="s">
        <v>43</v>
      </c>
    </row>
    <row r="463" spans="1:16">
      <c r="A463">
        <v>100501</v>
      </c>
      <c r="B463" s="4">
        <v>45437</v>
      </c>
      <c r="C463" t="s">
        <v>586</v>
      </c>
      <c r="D463" t="s">
        <v>73</v>
      </c>
      <c r="E463" t="s">
        <v>25</v>
      </c>
      <c r="F463" t="s">
        <v>1241</v>
      </c>
      <c r="G463" t="s">
        <v>18</v>
      </c>
      <c r="H463">
        <v>2</v>
      </c>
      <c r="I463">
        <v>36.380000000000003</v>
      </c>
      <c r="J463">
        <v>20</v>
      </c>
      <c r="K463">
        <v>58.21</v>
      </c>
      <c r="L463">
        <v>13.87</v>
      </c>
      <c r="M463">
        <v>27.74</v>
      </c>
      <c r="N463">
        <v>39</v>
      </c>
      <c r="O463" t="s">
        <v>26</v>
      </c>
      <c r="P463" t="s">
        <v>51</v>
      </c>
    </row>
    <row r="464" spans="1:16">
      <c r="A464">
        <v>100388</v>
      </c>
      <c r="B464" s="4">
        <v>45589</v>
      </c>
      <c r="C464" t="s">
        <v>512</v>
      </c>
      <c r="D464" t="s">
        <v>42</v>
      </c>
      <c r="E464" t="s">
        <v>25</v>
      </c>
      <c r="F464" t="s">
        <v>1241</v>
      </c>
      <c r="G464" t="s">
        <v>18</v>
      </c>
      <c r="H464">
        <v>2</v>
      </c>
      <c r="I464">
        <v>180.08</v>
      </c>
      <c r="J464">
        <v>0</v>
      </c>
      <c r="K464">
        <v>360.16</v>
      </c>
      <c r="L464">
        <v>84.13</v>
      </c>
      <c r="M464">
        <v>168.26</v>
      </c>
      <c r="N464">
        <v>34</v>
      </c>
      <c r="O464" t="s">
        <v>19</v>
      </c>
      <c r="P464" t="s">
        <v>20</v>
      </c>
    </row>
    <row r="465" spans="1:16">
      <c r="A465">
        <v>100144</v>
      </c>
      <c r="B465" s="4">
        <v>45374</v>
      </c>
      <c r="C465" t="s">
        <v>585</v>
      </c>
      <c r="D465" t="s">
        <v>87</v>
      </c>
      <c r="E465" t="s">
        <v>25</v>
      </c>
      <c r="F465" t="s">
        <v>1237</v>
      </c>
      <c r="G465" t="s">
        <v>31</v>
      </c>
      <c r="H465">
        <v>3</v>
      </c>
      <c r="I465">
        <v>102.41</v>
      </c>
      <c r="J465">
        <v>20</v>
      </c>
      <c r="K465">
        <v>245.78</v>
      </c>
      <c r="L465">
        <v>72.55</v>
      </c>
      <c r="M465">
        <v>217.64999999999998</v>
      </c>
      <c r="N465">
        <v>31</v>
      </c>
      <c r="O465" t="s">
        <v>26</v>
      </c>
      <c r="P465" t="s">
        <v>20</v>
      </c>
    </row>
    <row r="466" spans="1:16">
      <c r="A466">
        <v>100965</v>
      </c>
      <c r="B466" s="4">
        <v>45117</v>
      </c>
      <c r="C466" t="s">
        <v>582</v>
      </c>
      <c r="D466" t="s">
        <v>73</v>
      </c>
      <c r="E466" t="s">
        <v>25</v>
      </c>
      <c r="F466" t="s">
        <v>1241</v>
      </c>
      <c r="G466" t="s">
        <v>31</v>
      </c>
      <c r="H466">
        <v>5</v>
      </c>
      <c r="I466">
        <v>34.409999999999997</v>
      </c>
      <c r="J466">
        <v>10</v>
      </c>
      <c r="K466">
        <v>154.84</v>
      </c>
      <c r="L466">
        <v>46.15</v>
      </c>
      <c r="M466">
        <v>230.75</v>
      </c>
      <c r="N466">
        <v>16</v>
      </c>
      <c r="O466" t="s">
        <v>26</v>
      </c>
      <c r="P466" t="s">
        <v>32</v>
      </c>
    </row>
    <row r="467" spans="1:16">
      <c r="A467">
        <v>100482</v>
      </c>
      <c r="B467" s="4">
        <v>45306</v>
      </c>
      <c r="C467" t="s">
        <v>515</v>
      </c>
      <c r="D467" t="s">
        <v>70</v>
      </c>
      <c r="E467" t="s">
        <v>25</v>
      </c>
      <c r="F467" t="s">
        <v>1238</v>
      </c>
      <c r="G467" t="s">
        <v>64</v>
      </c>
      <c r="H467">
        <v>3</v>
      </c>
      <c r="I467">
        <v>181.45</v>
      </c>
      <c r="J467">
        <v>0</v>
      </c>
      <c r="K467">
        <v>544.35</v>
      </c>
      <c r="L467">
        <v>133.04</v>
      </c>
      <c r="M467">
        <v>399.12</v>
      </c>
      <c r="N467">
        <v>39</v>
      </c>
      <c r="O467" t="s">
        <v>26</v>
      </c>
      <c r="P467" t="s">
        <v>32</v>
      </c>
    </row>
    <row r="468" spans="1:16">
      <c r="A468">
        <v>100712</v>
      </c>
      <c r="B468" s="4">
        <v>44950</v>
      </c>
      <c r="C468" t="s">
        <v>516</v>
      </c>
      <c r="D468" t="s">
        <v>24</v>
      </c>
      <c r="E468" t="s">
        <v>25</v>
      </c>
      <c r="F468" t="s">
        <v>1238</v>
      </c>
      <c r="G468" t="s">
        <v>31</v>
      </c>
      <c r="H468">
        <v>1</v>
      </c>
      <c r="I468">
        <v>96.24</v>
      </c>
      <c r="J468">
        <v>0</v>
      </c>
      <c r="K468">
        <v>96.24</v>
      </c>
      <c r="L468">
        <v>23.12</v>
      </c>
      <c r="M468">
        <v>23.12</v>
      </c>
      <c r="N468">
        <v>19</v>
      </c>
      <c r="O468" t="s">
        <v>26</v>
      </c>
      <c r="P468" t="s">
        <v>32</v>
      </c>
    </row>
    <row r="469" spans="1:16">
      <c r="A469">
        <v>100873</v>
      </c>
      <c r="B469" s="4">
        <v>45762</v>
      </c>
      <c r="C469" t="s">
        <v>580</v>
      </c>
      <c r="D469" t="s">
        <v>100</v>
      </c>
      <c r="E469" t="s">
        <v>25</v>
      </c>
      <c r="F469" t="s">
        <v>1237</v>
      </c>
      <c r="G469" t="s">
        <v>18</v>
      </c>
      <c r="H469">
        <v>5</v>
      </c>
      <c r="I469">
        <v>117.95</v>
      </c>
      <c r="J469">
        <v>0</v>
      </c>
      <c r="K469">
        <v>589.75</v>
      </c>
      <c r="L469">
        <v>196.16</v>
      </c>
      <c r="M469">
        <v>980.8</v>
      </c>
      <c r="N469">
        <v>16</v>
      </c>
      <c r="O469" t="s">
        <v>122</v>
      </c>
      <c r="P469" t="s">
        <v>43</v>
      </c>
    </row>
    <row r="470" spans="1:16">
      <c r="A470">
        <v>101110</v>
      </c>
      <c r="B470" s="4">
        <v>45016</v>
      </c>
      <c r="C470" t="s">
        <v>518</v>
      </c>
      <c r="D470" t="s">
        <v>87</v>
      </c>
      <c r="E470" t="s">
        <v>25</v>
      </c>
      <c r="F470" t="s">
        <v>1241</v>
      </c>
      <c r="G470" t="s">
        <v>64</v>
      </c>
      <c r="H470">
        <v>1</v>
      </c>
      <c r="I470">
        <v>93.52</v>
      </c>
      <c r="J470">
        <v>10</v>
      </c>
      <c r="K470">
        <v>84.17</v>
      </c>
      <c r="L470">
        <v>25.93</v>
      </c>
      <c r="M470">
        <v>25.93</v>
      </c>
      <c r="N470">
        <v>31</v>
      </c>
      <c r="O470" t="s">
        <v>26</v>
      </c>
      <c r="P470" t="s">
        <v>27</v>
      </c>
    </row>
    <row r="471" spans="1:16">
      <c r="A471">
        <v>101089</v>
      </c>
      <c r="B471" s="4">
        <v>45552</v>
      </c>
      <c r="C471" t="s">
        <v>519</v>
      </c>
      <c r="D471" t="s">
        <v>100</v>
      </c>
      <c r="E471" t="s">
        <v>25</v>
      </c>
      <c r="F471" t="s">
        <v>1241</v>
      </c>
      <c r="G471" t="s">
        <v>31</v>
      </c>
      <c r="H471">
        <v>1</v>
      </c>
      <c r="I471">
        <v>132.69999999999999</v>
      </c>
      <c r="J471">
        <v>10</v>
      </c>
      <c r="K471">
        <v>119.43</v>
      </c>
      <c r="L471">
        <v>21.29</v>
      </c>
      <c r="M471">
        <v>21.29</v>
      </c>
      <c r="N471">
        <v>35</v>
      </c>
      <c r="O471" t="s">
        <v>26</v>
      </c>
      <c r="P471" t="s">
        <v>81</v>
      </c>
    </row>
    <row r="472" spans="1:16">
      <c r="A472">
        <v>100449</v>
      </c>
      <c r="B472" s="4">
        <v>45425</v>
      </c>
      <c r="C472" t="s">
        <v>579</v>
      </c>
      <c r="D472" t="s">
        <v>70</v>
      </c>
      <c r="E472" t="s">
        <v>25</v>
      </c>
      <c r="F472" t="s">
        <v>1237</v>
      </c>
      <c r="G472" t="s">
        <v>18</v>
      </c>
      <c r="H472">
        <v>2</v>
      </c>
      <c r="I472">
        <v>132.6</v>
      </c>
      <c r="J472">
        <v>5</v>
      </c>
      <c r="K472">
        <v>251.94</v>
      </c>
      <c r="L472">
        <v>78.19</v>
      </c>
      <c r="M472">
        <v>156.38</v>
      </c>
      <c r="N472">
        <v>30</v>
      </c>
      <c r="O472" t="s">
        <v>26</v>
      </c>
      <c r="P472" t="s">
        <v>27</v>
      </c>
    </row>
    <row r="473" spans="1:16">
      <c r="A473">
        <v>100916</v>
      </c>
      <c r="B473" s="4">
        <v>45508</v>
      </c>
      <c r="C473" t="s">
        <v>521</v>
      </c>
      <c r="D473" t="s">
        <v>70</v>
      </c>
      <c r="E473" t="s">
        <v>25</v>
      </c>
      <c r="F473" t="s">
        <v>1241</v>
      </c>
      <c r="G473" t="s">
        <v>64</v>
      </c>
      <c r="H473">
        <v>1</v>
      </c>
      <c r="I473">
        <v>152.72999999999999</v>
      </c>
      <c r="J473">
        <v>0</v>
      </c>
      <c r="K473">
        <v>152.72999999999999</v>
      </c>
      <c r="L473">
        <v>50.68</v>
      </c>
      <c r="M473">
        <v>50.68</v>
      </c>
      <c r="N473">
        <v>21</v>
      </c>
      <c r="O473" t="s">
        <v>26</v>
      </c>
      <c r="P473" t="s">
        <v>32</v>
      </c>
    </row>
    <row r="474" spans="1:16">
      <c r="A474">
        <v>100802</v>
      </c>
      <c r="B474" s="4">
        <v>45852</v>
      </c>
      <c r="C474" t="s">
        <v>575</v>
      </c>
      <c r="D474" t="s">
        <v>100</v>
      </c>
      <c r="E474" t="s">
        <v>25</v>
      </c>
      <c r="F474" t="s">
        <v>1237</v>
      </c>
      <c r="G474" t="s">
        <v>48</v>
      </c>
      <c r="H474">
        <v>1</v>
      </c>
      <c r="I474">
        <v>132.72999999999999</v>
      </c>
      <c r="J474">
        <v>10</v>
      </c>
      <c r="K474">
        <v>119.46</v>
      </c>
      <c r="L474">
        <v>32.19</v>
      </c>
      <c r="M474">
        <v>32.19</v>
      </c>
      <c r="N474">
        <v>42</v>
      </c>
      <c r="O474" t="s">
        <v>26</v>
      </c>
      <c r="P474" t="s">
        <v>46</v>
      </c>
    </row>
    <row r="475" spans="1:16">
      <c r="A475">
        <v>100118</v>
      </c>
      <c r="B475" s="4">
        <v>45597</v>
      </c>
      <c r="C475" t="s">
        <v>574</v>
      </c>
      <c r="D475" t="s">
        <v>87</v>
      </c>
      <c r="E475" t="s">
        <v>25</v>
      </c>
      <c r="F475" t="s">
        <v>1237</v>
      </c>
      <c r="G475" t="s">
        <v>64</v>
      </c>
      <c r="H475">
        <v>7</v>
      </c>
      <c r="I475">
        <v>83.62</v>
      </c>
      <c r="J475">
        <v>0</v>
      </c>
      <c r="K475">
        <v>585.34</v>
      </c>
      <c r="L475">
        <v>176.98</v>
      </c>
      <c r="M475">
        <v>1238.8599999999999</v>
      </c>
      <c r="N475">
        <v>45</v>
      </c>
      <c r="O475" t="s">
        <v>26</v>
      </c>
      <c r="P475" t="s">
        <v>43</v>
      </c>
    </row>
    <row r="476" spans="1:16">
      <c r="A476">
        <v>100373</v>
      </c>
      <c r="B476" s="4">
        <v>45104</v>
      </c>
      <c r="C476" t="s">
        <v>573</v>
      </c>
      <c r="D476" t="s">
        <v>42</v>
      </c>
      <c r="E476" t="s">
        <v>25</v>
      </c>
      <c r="F476" t="s">
        <v>1237</v>
      </c>
      <c r="G476" t="s">
        <v>18</v>
      </c>
      <c r="H476">
        <v>1</v>
      </c>
      <c r="I476">
        <v>170.96</v>
      </c>
      <c r="J476">
        <v>0</v>
      </c>
      <c r="K476">
        <v>170.96</v>
      </c>
      <c r="L476">
        <v>57.49</v>
      </c>
      <c r="M476">
        <v>57.49</v>
      </c>
      <c r="N476">
        <v>34</v>
      </c>
      <c r="O476" t="s">
        <v>26</v>
      </c>
      <c r="P476" t="s">
        <v>32</v>
      </c>
    </row>
    <row r="477" spans="1:16">
      <c r="A477">
        <v>100594</v>
      </c>
      <c r="B477" s="4">
        <v>44930</v>
      </c>
      <c r="C477" t="s">
        <v>525</v>
      </c>
      <c r="D477" t="s">
        <v>100</v>
      </c>
      <c r="E477" t="s">
        <v>25</v>
      </c>
      <c r="F477" t="s">
        <v>1241</v>
      </c>
      <c r="G477" t="s">
        <v>31</v>
      </c>
      <c r="H477">
        <v>2</v>
      </c>
      <c r="I477">
        <v>119.58</v>
      </c>
      <c r="J477">
        <v>0</v>
      </c>
      <c r="K477">
        <v>239.16</v>
      </c>
      <c r="L477">
        <v>62.75</v>
      </c>
      <c r="M477">
        <v>125.5</v>
      </c>
      <c r="N477">
        <v>37</v>
      </c>
      <c r="O477" t="s">
        <v>26</v>
      </c>
      <c r="P477" t="s">
        <v>81</v>
      </c>
    </row>
    <row r="478" spans="1:16">
      <c r="A478">
        <v>101118</v>
      </c>
      <c r="B478" s="4">
        <v>45135</v>
      </c>
      <c r="C478" t="s">
        <v>572</v>
      </c>
      <c r="D478" t="s">
        <v>24</v>
      </c>
      <c r="E478" t="s">
        <v>25</v>
      </c>
      <c r="F478" t="s">
        <v>1238</v>
      </c>
      <c r="G478" t="s">
        <v>31</v>
      </c>
      <c r="H478">
        <v>5</v>
      </c>
      <c r="I478">
        <v>95.27</v>
      </c>
      <c r="J478">
        <v>10</v>
      </c>
      <c r="K478">
        <v>428.71</v>
      </c>
      <c r="L478">
        <v>99.13</v>
      </c>
      <c r="M478">
        <v>495.65</v>
      </c>
      <c r="N478">
        <v>30</v>
      </c>
      <c r="O478" t="s">
        <v>19</v>
      </c>
      <c r="P478" t="s">
        <v>81</v>
      </c>
    </row>
    <row r="479" spans="1:16">
      <c r="A479">
        <v>100145</v>
      </c>
      <c r="B479" s="4">
        <v>45268</v>
      </c>
      <c r="C479" t="s">
        <v>571</v>
      </c>
      <c r="D479" t="s">
        <v>42</v>
      </c>
      <c r="E479" t="s">
        <v>25</v>
      </c>
      <c r="F479" t="s">
        <v>1237</v>
      </c>
      <c r="G479" t="s">
        <v>31</v>
      </c>
      <c r="H479">
        <v>4</v>
      </c>
      <c r="I479">
        <v>155.71</v>
      </c>
      <c r="J479">
        <v>10</v>
      </c>
      <c r="K479">
        <v>560.55999999999995</v>
      </c>
      <c r="L479">
        <v>182.17</v>
      </c>
      <c r="M479">
        <v>728.68</v>
      </c>
      <c r="N479">
        <v>34</v>
      </c>
      <c r="O479" t="s">
        <v>26</v>
      </c>
      <c r="P479" t="s">
        <v>43</v>
      </c>
    </row>
    <row r="480" spans="1:16">
      <c r="A480">
        <v>100545</v>
      </c>
      <c r="B480" s="4">
        <v>44971</v>
      </c>
      <c r="C480" t="s">
        <v>528</v>
      </c>
      <c r="D480" t="s">
        <v>68</v>
      </c>
      <c r="E480" t="s">
        <v>25</v>
      </c>
      <c r="F480" t="s">
        <v>1241</v>
      </c>
      <c r="G480" t="s">
        <v>18</v>
      </c>
      <c r="H480">
        <v>2</v>
      </c>
      <c r="I480">
        <v>222.43</v>
      </c>
      <c r="J480">
        <v>20</v>
      </c>
      <c r="K480">
        <v>355.89</v>
      </c>
      <c r="L480">
        <v>115.76</v>
      </c>
      <c r="M480">
        <v>231.52</v>
      </c>
      <c r="N480">
        <v>31</v>
      </c>
      <c r="O480" t="s">
        <v>26</v>
      </c>
      <c r="P480" t="s">
        <v>81</v>
      </c>
    </row>
    <row r="481" spans="1:16">
      <c r="A481">
        <v>100033</v>
      </c>
      <c r="B481" s="4">
        <v>45888</v>
      </c>
      <c r="C481" t="s">
        <v>529</v>
      </c>
      <c r="D481" t="s">
        <v>68</v>
      </c>
      <c r="E481" t="s">
        <v>25</v>
      </c>
      <c r="F481" t="s">
        <v>1239</v>
      </c>
      <c r="G481" t="s">
        <v>31</v>
      </c>
      <c r="H481">
        <v>2</v>
      </c>
      <c r="I481">
        <v>204.91</v>
      </c>
      <c r="J481">
        <v>40</v>
      </c>
      <c r="K481">
        <v>245.89</v>
      </c>
      <c r="L481">
        <v>60.6</v>
      </c>
      <c r="M481">
        <v>121.2</v>
      </c>
      <c r="N481">
        <v>33</v>
      </c>
      <c r="O481" t="s">
        <v>26</v>
      </c>
      <c r="P481" t="s">
        <v>20</v>
      </c>
    </row>
    <row r="482" spans="1:16">
      <c r="A482">
        <v>100223</v>
      </c>
      <c r="B482" s="4">
        <v>45265</v>
      </c>
      <c r="C482" t="s">
        <v>570</v>
      </c>
      <c r="D482" t="s">
        <v>42</v>
      </c>
      <c r="E482" t="s">
        <v>25</v>
      </c>
      <c r="F482" t="s">
        <v>1237</v>
      </c>
      <c r="G482" t="s">
        <v>31</v>
      </c>
      <c r="H482">
        <v>1</v>
      </c>
      <c r="I482">
        <v>167.08</v>
      </c>
      <c r="J482">
        <v>0</v>
      </c>
      <c r="K482">
        <v>167.08</v>
      </c>
      <c r="L482">
        <v>35.979999999999997</v>
      </c>
      <c r="M482">
        <v>35.979999999999997</v>
      </c>
      <c r="N482">
        <v>29</v>
      </c>
      <c r="O482" t="s">
        <v>26</v>
      </c>
      <c r="P482" t="s">
        <v>43</v>
      </c>
    </row>
    <row r="483" spans="1:16">
      <c r="A483">
        <v>100238</v>
      </c>
      <c r="B483" s="4">
        <v>45886</v>
      </c>
      <c r="C483" t="s">
        <v>424</v>
      </c>
      <c r="D483" t="s">
        <v>87</v>
      </c>
      <c r="E483" t="s">
        <v>25</v>
      </c>
      <c r="F483" t="s">
        <v>1237</v>
      </c>
      <c r="G483" t="s">
        <v>31</v>
      </c>
      <c r="H483">
        <v>4</v>
      </c>
      <c r="I483">
        <v>86.59</v>
      </c>
      <c r="J483">
        <v>10</v>
      </c>
      <c r="K483">
        <v>311.72000000000003</v>
      </c>
      <c r="L483">
        <v>69.27</v>
      </c>
      <c r="M483">
        <v>277.08</v>
      </c>
      <c r="N483">
        <v>39</v>
      </c>
      <c r="O483" t="s">
        <v>19</v>
      </c>
      <c r="P483" t="s">
        <v>81</v>
      </c>
    </row>
    <row r="484" spans="1:16">
      <c r="A484">
        <v>100448</v>
      </c>
      <c r="B484" s="4">
        <v>45317</v>
      </c>
      <c r="C484" t="s">
        <v>532</v>
      </c>
      <c r="D484" t="s">
        <v>87</v>
      </c>
      <c r="E484" t="s">
        <v>25</v>
      </c>
      <c r="F484" t="s">
        <v>1238</v>
      </c>
      <c r="G484" t="s">
        <v>18</v>
      </c>
      <c r="H484">
        <v>3</v>
      </c>
      <c r="I484">
        <v>80.63</v>
      </c>
      <c r="J484">
        <v>5</v>
      </c>
      <c r="K484">
        <v>229.8</v>
      </c>
      <c r="L484">
        <v>88.49</v>
      </c>
      <c r="M484">
        <v>265.46999999999997</v>
      </c>
      <c r="N484">
        <v>29</v>
      </c>
      <c r="O484" t="s">
        <v>19</v>
      </c>
      <c r="P484" t="s">
        <v>43</v>
      </c>
    </row>
    <row r="485" spans="1:16">
      <c r="A485">
        <v>101055</v>
      </c>
      <c r="B485" s="4">
        <v>44998</v>
      </c>
      <c r="C485" t="s">
        <v>569</v>
      </c>
      <c r="D485" t="s">
        <v>68</v>
      </c>
      <c r="E485" t="s">
        <v>25</v>
      </c>
      <c r="F485" t="s">
        <v>1241</v>
      </c>
      <c r="G485" t="s">
        <v>48</v>
      </c>
      <c r="H485">
        <v>1</v>
      </c>
      <c r="I485">
        <v>230.24</v>
      </c>
      <c r="J485">
        <v>10</v>
      </c>
      <c r="K485">
        <v>207.22</v>
      </c>
      <c r="L485">
        <v>70.31</v>
      </c>
      <c r="M485">
        <v>70.31</v>
      </c>
      <c r="N485">
        <v>25</v>
      </c>
      <c r="O485" t="s">
        <v>19</v>
      </c>
      <c r="P485" t="s">
        <v>27</v>
      </c>
    </row>
    <row r="486" spans="1:16">
      <c r="A486">
        <v>100259</v>
      </c>
      <c r="B486" s="4">
        <v>45596</v>
      </c>
      <c r="C486" t="s">
        <v>534</v>
      </c>
      <c r="D486" t="s">
        <v>70</v>
      </c>
      <c r="E486" t="s">
        <v>25</v>
      </c>
      <c r="F486" t="s">
        <v>1238</v>
      </c>
      <c r="G486" t="s">
        <v>31</v>
      </c>
      <c r="H486">
        <v>4</v>
      </c>
      <c r="I486">
        <v>149.63</v>
      </c>
      <c r="J486">
        <v>10</v>
      </c>
      <c r="K486">
        <v>538.66999999999996</v>
      </c>
      <c r="L486">
        <v>129.47</v>
      </c>
      <c r="M486">
        <v>517.88</v>
      </c>
      <c r="N486">
        <v>29</v>
      </c>
      <c r="O486" t="s">
        <v>26</v>
      </c>
      <c r="P486" t="s">
        <v>81</v>
      </c>
    </row>
    <row r="487" spans="1:16">
      <c r="A487">
        <v>100281</v>
      </c>
      <c r="B487" s="4">
        <v>45035</v>
      </c>
      <c r="C487" t="s">
        <v>568</v>
      </c>
      <c r="D487" t="s">
        <v>39</v>
      </c>
      <c r="E487" t="s">
        <v>25</v>
      </c>
      <c r="F487" t="s">
        <v>1241</v>
      </c>
      <c r="G487" t="s">
        <v>31</v>
      </c>
      <c r="H487">
        <v>4</v>
      </c>
      <c r="I487">
        <v>174.63</v>
      </c>
      <c r="J487">
        <v>10</v>
      </c>
      <c r="K487">
        <v>628.66999999999996</v>
      </c>
      <c r="L487">
        <v>195.66</v>
      </c>
      <c r="M487">
        <v>782.64</v>
      </c>
      <c r="N487">
        <v>37</v>
      </c>
      <c r="O487" t="s">
        <v>19</v>
      </c>
      <c r="P487" t="s">
        <v>51</v>
      </c>
    </row>
    <row r="488" spans="1:16">
      <c r="A488">
        <v>100062</v>
      </c>
      <c r="B488" s="4">
        <v>45699</v>
      </c>
      <c r="C488" t="s">
        <v>567</v>
      </c>
      <c r="D488" t="s">
        <v>39</v>
      </c>
      <c r="E488" t="s">
        <v>25</v>
      </c>
      <c r="F488" t="s">
        <v>1241</v>
      </c>
      <c r="G488" t="s">
        <v>18</v>
      </c>
      <c r="H488">
        <v>3</v>
      </c>
      <c r="I488">
        <v>149.9</v>
      </c>
      <c r="J488">
        <v>0</v>
      </c>
      <c r="K488">
        <v>449.7</v>
      </c>
      <c r="L488">
        <v>174.72</v>
      </c>
      <c r="M488">
        <v>524.16</v>
      </c>
      <c r="N488">
        <v>33</v>
      </c>
      <c r="O488" t="s">
        <v>26</v>
      </c>
      <c r="P488" t="s">
        <v>35</v>
      </c>
    </row>
    <row r="489" spans="1:16">
      <c r="A489">
        <v>100605</v>
      </c>
      <c r="B489" s="4">
        <v>45500</v>
      </c>
      <c r="C489" t="s">
        <v>566</v>
      </c>
      <c r="D489" t="s">
        <v>73</v>
      </c>
      <c r="E489" t="s">
        <v>25</v>
      </c>
      <c r="F489" t="s">
        <v>1241</v>
      </c>
      <c r="G489" t="s">
        <v>18</v>
      </c>
      <c r="H489">
        <v>1</v>
      </c>
      <c r="I489">
        <v>34.1</v>
      </c>
      <c r="J489">
        <v>10</v>
      </c>
      <c r="K489">
        <v>30.69</v>
      </c>
      <c r="L489">
        <v>7.56</v>
      </c>
      <c r="M489">
        <v>7.56</v>
      </c>
      <c r="N489">
        <v>45</v>
      </c>
      <c r="O489" t="s">
        <v>19</v>
      </c>
      <c r="P489" t="s">
        <v>20</v>
      </c>
    </row>
    <row r="490" spans="1:16">
      <c r="A490">
        <v>101057</v>
      </c>
      <c r="B490" s="4">
        <v>45715</v>
      </c>
      <c r="C490" t="s">
        <v>563</v>
      </c>
      <c r="D490" t="s">
        <v>24</v>
      </c>
      <c r="E490" t="s">
        <v>25</v>
      </c>
      <c r="F490" t="s">
        <v>1240</v>
      </c>
      <c r="G490" t="s">
        <v>31</v>
      </c>
      <c r="H490">
        <v>3</v>
      </c>
      <c r="I490">
        <v>85.71</v>
      </c>
      <c r="J490">
        <v>40</v>
      </c>
      <c r="K490">
        <v>154.28</v>
      </c>
      <c r="L490">
        <v>45.27</v>
      </c>
      <c r="M490">
        <v>135.81</v>
      </c>
      <c r="N490">
        <v>39</v>
      </c>
      <c r="O490" t="s">
        <v>19</v>
      </c>
      <c r="P490" t="s">
        <v>81</v>
      </c>
    </row>
    <row r="491" spans="1:16">
      <c r="A491">
        <v>100365</v>
      </c>
      <c r="B491" s="4">
        <v>44981</v>
      </c>
      <c r="C491" t="s">
        <v>539</v>
      </c>
      <c r="D491" t="s">
        <v>87</v>
      </c>
      <c r="E491" t="s">
        <v>25</v>
      </c>
      <c r="F491" t="s">
        <v>1240</v>
      </c>
      <c r="G491" t="s">
        <v>18</v>
      </c>
      <c r="H491">
        <v>5</v>
      </c>
      <c r="I491">
        <v>74.78</v>
      </c>
      <c r="J491">
        <v>5</v>
      </c>
      <c r="K491">
        <v>355.2</v>
      </c>
      <c r="L491">
        <v>100.14</v>
      </c>
      <c r="M491">
        <v>500.7</v>
      </c>
      <c r="N491">
        <v>32</v>
      </c>
      <c r="O491" t="s">
        <v>19</v>
      </c>
      <c r="P491" t="s">
        <v>20</v>
      </c>
    </row>
    <row r="492" spans="1:16">
      <c r="A492">
        <v>101043</v>
      </c>
      <c r="B492" s="4">
        <v>45571</v>
      </c>
      <c r="C492" t="s">
        <v>38</v>
      </c>
      <c r="D492" t="s">
        <v>87</v>
      </c>
      <c r="E492" t="s">
        <v>25</v>
      </c>
      <c r="F492" t="s">
        <v>1241</v>
      </c>
      <c r="G492" t="s">
        <v>18</v>
      </c>
      <c r="H492">
        <v>2</v>
      </c>
      <c r="I492">
        <v>84.94</v>
      </c>
      <c r="J492">
        <v>0</v>
      </c>
      <c r="K492">
        <v>169.88</v>
      </c>
      <c r="L492">
        <v>67.75</v>
      </c>
      <c r="M492">
        <v>135.5</v>
      </c>
      <c r="N492">
        <v>21</v>
      </c>
      <c r="O492" t="s">
        <v>19</v>
      </c>
      <c r="P492" t="s">
        <v>81</v>
      </c>
    </row>
    <row r="493" spans="1:16">
      <c r="A493">
        <v>101195</v>
      </c>
      <c r="B493" s="4">
        <v>44965</v>
      </c>
      <c r="C493" t="s">
        <v>562</v>
      </c>
      <c r="D493" t="s">
        <v>24</v>
      </c>
      <c r="E493" t="s">
        <v>25</v>
      </c>
      <c r="F493" t="s">
        <v>1238</v>
      </c>
      <c r="G493" t="s">
        <v>31</v>
      </c>
      <c r="H493">
        <v>2</v>
      </c>
      <c r="I493">
        <v>77.510000000000005</v>
      </c>
      <c r="J493">
        <v>5</v>
      </c>
      <c r="K493">
        <v>147.27000000000001</v>
      </c>
      <c r="L493">
        <v>42.27</v>
      </c>
      <c r="M493">
        <v>84.54</v>
      </c>
      <c r="N493">
        <v>28</v>
      </c>
      <c r="O493" t="s">
        <v>26</v>
      </c>
      <c r="P493" t="s">
        <v>35</v>
      </c>
    </row>
    <row r="494" spans="1:16">
      <c r="A494">
        <v>100404</v>
      </c>
      <c r="B494" s="4">
        <v>45770</v>
      </c>
      <c r="C494" t="s">
        <v>561</v>
      </c>
      <c r="D494" t="s">
        <v>70</v>
      </c>
      <c r="E494" t="s">
        <v>25</v>
      </c>
      <c r="F494" t="s">
        <v>1241</v>
      </c>
      <c r="G494" t="s">
        <v>31</v>
      </c>
      <c r="H494">
        <v>2</v>
      </c>
      <c r="I494">
        <v>147.32</v>
      </c>
      <c r="J494">
        <v>5</v>
      </c>
      <c r="K494">
        <v>279.91000000000003</v>
      </c>
      <c r="L494">
        <v>104.82</v>
      </c>
      <c r="M494">
        <v>209.64</v>
      </c>
      <c r="N494">
        <v>29</v>
      </c>
      <c r="O494" t="s">
        <v>19</v>
      </c>
      <c r="P494" t="s">
        <v>43</v>
      </c>
    </row>
    <row r="495" spans="1:16">
      <c r="A495">
        <v>100538</v>
      </c>
      <c r="B495" s="4">
        <v>45880</v>
      </c>
      <c r="C495" t="s">
        <v>543</v>
      </c>
      <c r="D495" t="s">
        <v>70</v>
      </c>
      <c r="E495" t="s">
        <v>25</v>
      </c>
      <c r="F495" t="s">
        <v>1237</v>
      </c>
      <c r="G495" t="s">
        <v>31</v>
      </c>
      <c r="H495">
        <v>4</v>
      </c>
      <c r="I495">
        <v>153.51</v>
      </c>
      <c r="J495">
        <v>10</v>
      </c>
      <c r="K495">
        <v>552.64</v>
      </c>
      <c r="L495">
        <v>160.62</v>
      </c>
      <c r="M495">
        <v>642.48</v>
      </c>
      <c r="N495">
        <v>16</v>
      </c>
      <c r="O495" t="s">
        <v>19</v>
      </c>
      <c r="P495" t="s">
        <v>35</v>
      </c>
    </row>
    <row r="496" spans="1:16">
      <c r="A496">
        <v>100661</v>
      </c>
      <c r="B496" s="4">
        <v>45882</v>
      </c>
      <c r="C496" t="s">
        <v>560</v>
      </c>
      <c r="D496" t="s">
        <v>70</v>
      </c>
      <c r="E496" t="s">
        <v>25</v>
      </c>
      <c r="F496" t="s">
        <v>1241</v>
      </c>
      <c r="G496" t="s">
        <v>31</v>
      </c>
      <c r="H496">
        <v>3</v>
      </c>
      <c r="I496">
        <v>142.51</v>
      </c>
      <c r="J496">
        <v>0</v>
      </c>
      <c r="K496">
        <v>427.53</v>
      </c>
      <c r="L496">
        <v>157.68</v>
      </c>
      <c r="M496">
        <v>473.04</v>
      </c>
      <c r="N496">
        <v>32</v>
      </c>
      <c r="O496" t="s">
        <v>19</v>
      </c>
      <c r="P496" t="s">
        <v>81</v>
      </c>
    </row>
    <row r="497" spans="1:16">
      <c r="A497">
        <v>100310</v>
      </c>
      <c r="B497" s="4">
        <v>44928</v>
      </c>
      <c r="C497" t="s">
        <v>559</v>
      </c>
      <c r="D497" t="s">
        <v>73</v>
      </c>
      <c r="E497" t="s">
        <v>25</v>
      </c>
      <c r="F497" t="s">
        <v>1241</v>
      </c>
      <c r="G497" t="s">
        <v>18</v>
      </c>
      <c r="H497">
        <v>5</v>
      </c>
      <c r="I497">
        <v>36.36</v>
      </c>
      <c r="J497">
        <v>5</v>
      </c>
      <c r="K497">
        <v>172.71</v>
      </c>
      <c r="L497">
        <v>44.5</v>
      </c>
      <c r="M497">
        <v>222.5</v>
      </c>
      <c r="N497">
        <v>25</v>
      </c>
      <c r="O497" t="s">
        <v>19</v>
      </c>
      <c r="P497" t="s">
        <v>81</v>
      </c>
    </row>
    <row r="498" spans="1:16">
      <c r="A498">
        <v>101137</v>
      </c>
      <c r="B498" s="4">
        <v>45358</v>
      </c>
      <c r="C498" t="s">
        <v>105</v>
      </c>
      <c r="D498" t="s">
        <v>87</v>
      </c>
      <c r="E498" t="s">
        <v>25</v>
      </c>
      <c r="F498" t="s">
        <v>1241</v>
      </c>
      <c r="G498" t="s">
        <v>18</v>
      </c>
      <c r="H498">
        <v>5</v>
      </c>
      <c r="I498">
        <v>88.63</v>
      </c>
      <c r="J498">
        <v>10</v>
      </c>
      <c r="K498">
        <v>398.83</v>
      </c>
      <c r="L498">
        <v>94.16</v>
      </c>
      <c r="M498">
        <v>470.79999999999995</v>
      </c>
      <c r="N498">
        <v>22</v>
      </c>
      <c r="O498" t="s">
        <v>26</v>
      </c>
      <c r="P498" t="s">
        <v>81</v>
      </c>
    </row>
    <row r="499" spans="1:16">
      <c r="A499">
        <v>100196</v>
      </c>
      <c r="B499" s="4">
        <v>45001</v>
      </c>
      <c r="C499" t="s">
        <v>555</v>
      </c>
      <c r="D499" t="s">
        <v>70</v>
      </c>
      <c r="E499" t="s">
        <v>25</v>
      </c>
      <c r="F499" t="s">
        <v>1238</v>
      </c>
      <c r="G499" t="s">
        <v>31</v>
      </c>
      <c r="H499">
        <v>3</v>
      </c>
      <c r="I499">
        <v>161.19</v>
      </c>
      <c r="J499">
        <v>20</v>
      </c>
      <c r="K499">
        <v>386.86</v>
      </c>
      <c r="L499">
        <v>132.94999999999999</v>
      </c>
      <c r="M499">
        <v>398.84999999999997</v>
      </c>
      <c r="N499">
        <v>31</v>
      </c>
      <c r="O499" t="s">
        <v>26</v>
      </c>
      <c r="P499" t="s">
        <v>35</v>
      </c>
    </row>
    <row r="500" spans="1:16">
      <c r="A500">
        <v>101185</v>
      </c>
      <c r="B500" s="4">
        <v>45768</v>
      </c>
      <c r="C500" t="s">
        <v>547</v>
      </c>
      <c r="D500" t="s">
        <v>100</v>
      </c>
      <c r="E500" t="s">
        <v>25</v>
      </c>
      <c r="F500" t="s">
        <v>1239</v>
      </c>
      <c r="G500" t="s">
        <v>31</v>
      </c>
      <c r="H500">
        <v>3</v>
      </c>
      <c r="I500">
        <v>142.61000000000001</v>
      </c>
      <c r="J500">
        <v>0</v>
      </c>
      <c r="K500">
        <v>427.83</v>
      </c>
      <c r="L500">
        <v>125.1</v>
      </c>
      <c r="M500">
        <v>375.29999999999995</v>
      </c>
      <c r="N500">
        <v>42</v>
      </c>
      <c r="O500" t="s">
        <v>26</v>
      </c>
      <c r="P500" t="s">
        <v>81</v>
      </c>
    </row>
    <row r="501" spans="1:16">
      <c r="A501">
        <v>101075</v>
      </c>
      <c r="B501" s="4">
        <v>45688</v>
      </c>
      <c r="C501" t="s">
        <v>548</v>
      </c>
      <c r="D501" t="s">
        <v>68</v>
      </c>
      <c r="E501" t="s">
        <v>25</v>
      </c>
      <c r="F501" t="s">
        <v>1237</v>
      </c>
      <c r="G501" t="s">
        <v>18</v>
      </c>
      <c r="H501">
        <v>2</v>
      </c>
      <c r="I501">
        <v>244.85</v>
      </c>
      <c r="J501">
        <v>0</v>
      </c>
      <c r="K501">
        <v>489.7</v>
      </c>
      <c r="L501">
        <v>155.19</v>
      </c>
      <c r="M501">
        <v>310.38</v>
      </c>
      <c r="N501">
        <v>22</v>
      </c>
      <c r="O501" t="s">
        <v>26</v>
      </c>
      <c r="P501" t="s">
        <v>43</v>
      </c>
    </row>
    <row r="502" spans="1:16">
      <c r="A502">
        <v>100554</v>
      </c>
      <c r="B502" s="4">
        <v>45218</v>
      </c>
      <c r="C502" t="s">
        <v>551</v>
      </c>
      <c r="D502" t="s">
        <v>100</v>
      </c>
      <c r="E502" t="s">
        <v>25</v>
      </c>
      <c r="F502" t="s">
        <v>1241</v>
      </c>
      <c r="G502" t="s">
        <v>48</v>
      </c>
      <c r="H502">
        <v>3</v>
      </c>
      <c r="I502">
        <v>111.07</v>
      </c>
      <c r="J502">
        <v>10</v>
      </c>
      <c r="K502">
        <v>299.89</v>
      </c>
      <c r="L502">
        <v>94.02</v>
      </c>
      <c r="M502">
        <v>282.06</v>
      </c>
      <c r="N502">
        <v>20</v>
      </c>
      <c r="O502" t="s">
        <v>26</v>
      </c>
      <c r="P502" t="s">
        <v>51</v>
      </c>
    </row>
    <row r="503" spans="1:16">
      <c r="A503">
        <v>100436</v>
      </c>
      <c r="B503" s="4">
        <v>45654</v>
      </c>
      <c r="C503" t="s">
        <v>550</v>
      </c>
      <c r="D503" t="s">
        <v>87</v>
      </c>
      <c r="E503" t="s">
        <v>25</v>
      </c>
      <c r="F503" t="s">
        <v>1237</v>
      </c>
      <c r="G503" t="s">
        <v>31</v>
      </c>
      <c r="H503">
        <v>3</v>
      </c>
      <c r="I503">
        <v>89.53</v>
      </c>
      <c r="J503">
        <v>0</v>
      </c>
      <c r="K503">
        <v>268.58999999999997</v>
      </c>
      <c r="L503">
        <v>86.24</v>
      </c>
      <c r="M503">
        <v>258.71999999999997</v>
      </c>
      <c r="N503">
        <v>19</v>
      </c>
      <c r="O503" t="s">
        <v>19</v>
      </c>
      <c r="P503" t="s">
        <v>32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00C8C-BC79-450E-B95B-082CF40C789E}">
  <dimension ref="A1:P152"/>
  <sheetViews>
    <sheetView workbookViewId="0">
      <selection sqref="A1:P152"/>
    </sheetView>
  </sheetViews>
  <sheetFormatPr defaultRowHeight="14.25"/>
  <cols>
    <col min="1" max="1" width="10.125" customWidth="1"/>
    <col min="2" max="2" width="12.375" customWidth="1"/>
    <col min="4" max="4" width="15.25" customWidth="1"/>
    <col min="5" max="5" width="10.25" customWidth="1"/>
    <col min="7" max="7" width="12.375" customWidth="1"/>
    <col min="8" max="8" width="11.875" customWidth="1"/>
    <col min="9" max="9" width="11.375" customWidth="1"/>
    <col min="10" max="11" width="10.125" customWidth="1"/>
    <col min="13" max="13" width="12" customWidth="1"/>
    <col min="14" max="14" width="15.25" customWidth="1"/>
    <col min="15" max="15" width="8.875" customWidth="1"/>
    <col min="16" max="16" width="17.25" customWidth="1"/>
  </cols>
  <sheetData>
    <row r="1" spans="1:16">
      <c r="A1" t="s">
        <v>0</v>
      </c>
      <c r="B1" t="s">
        <v>1</v>
      </c>
      <c r="C1" t="s">
        <v>2</v>
      </c>
      <c r="D1" t="s">
        <v>3</v>
      </c>
      <c r="E1" t="s">
        <v>4</v>
      </c>
      <c r="F1" t="s">
        <v>5</v>
      </c>
      <c r="G1" t="s">
        <v>6</v>
      </c>
      <c r="H1" t="s">
        <v>7</v>
      </c>
      <c r="I1" t="s">
        <v>8</v>
      </c>
      <c r="J1" t="s">
        <v>9</v>
      </c>
      <c r="K1" t="s">
        <v>10</v>
      </c>
      <c r="L1" t="s">
        <v>11</v>
      </c>
      <c r="M1" t="s">
        <v>1252</v>
      </c>
      <c r="N1" t="s">
        <v>12</v>
      </c>
      <c r="O1" t="s">
        <v>13</v>
      </c>
      <c r="P1" t="s">
        <v>14</v>
      </c>
    </row>
    <row r="2" spans="1:16">
      <c r="A2">
        <v>100021</v>
      </c>
      <c r="B2" s="4">
        <v>45289</v>
      </c>
      <c r="C2" t="s">
        <v>1217</v>
      </c>
      <c r="D2" t="s">
        <v>34</v>
      </c>
      <c r="E2" t="s">
        <v>30</v>
      </c>
      <c r="F2" t="s">
        <v>1239</v>
      </c>
      <c r="G2" t="s">
        <v>18</v>
      </c>
      <c r="H2">
        <v>2</v>
      </c>
      <c r="I2">
        <v>59.87</v>
      </c>
      <c r="J2">
        <v>5</v>
      </c>
      <c r="K2">
        <v>113.75</v>
      </c>
      <c r="L2">
        <v>38.020000000000003</v>
      </c>
      <c r="M2">
        <v>76.040000000000006</v>
      </c>
      <c r="N2">
        <v>49</v>
      </c>
      <c r="O2" t="s">
        <v>19</v>
      </c>
      <c r="P2" t="s">
        <v>27</v>
      </c>
    </row>
    <row r="3" spans="1:16">
      <c r="A3">
        <v>100699</v>
      </c>
      <c r="B3" s="4">
        <v>45408</v>
      </c>
      <c r="C3" t="s">
        <v>1210</v>
      </c>
      <c r="D3" t="s">
        <v>45</v>
      </c>
      <c r="E3" t="s">
        <v>30</v>
      </c>
      <c r="F3" t="s">
        <v>1238</v>
      </c>
      <c r="G3" t="s">
        <v>18</v>
      </c>
      <c r="H3">
        <v>4</v>
      </c>
      <c r="I3">
        <v>15.21</v>
      </c>
      <c r="J3">
        <v>0</v>
      </c>
      <c r="K3">
        <v>60.84</v>
      </c>
      <c r="L3">
        <v>25.41</v>
      </c>
      <c r="M3">
        <v>101.64</v>
      </c>
      <c r="N3">
        <v>26</v>
      </c>
      <c r="O3" t="s">
        <v>19</v>
      </c>
      <c r="P3" t="s">
        <v>27</v>
      </c>
    </row>
    <row r="4" spans="1:16">
      <c r="A4">
        <v>100161</v>
      </c>
      <c r="B4" s="4">
        <v>45243</v>
      </c>
      <c r="C4" t="s">
        <v>1176</v>
      </c>
      <c r="D4" t="s">
        <v>53</v>
      </c>
      <c r="E4" t="s">
        <v>30</v>
      </c>
      <c r="F4" t="s">
        <v>1241</v>
      </c>
      <c r="G4" t="s">
        <v>31</v>
      </c>
      <c r="H4">
        <v>3</v>
      </c>
      <c r="I4">
        <v>19.93</v>
      </c>
      <c r="J4">
        <v>0</v>
      </c>
      <c r="K4">
        <v>59.79</v>
      </c>
      <c r="L4">
        <v>17.420000000000002</v>
      </c>
      <c r="M4">
        <v>52.260000000000005</v>
      </c>
      <c r="N4">
        <v>35</v>
      </c>
      <c r="O4" t="s">
        <v>19</v>
      </c>
      <c r="P4" t="s">
        <v>46</v>
      </c>
    </row>
    <row r="5" spans="1:16">
      <c r="A5">
        <v>100439</v>
      </c>
      <c r="B5" s="4">
        <v>45294</v>
      </c>
      <c r="C5" t="s">
        <v>28</v>
      </c>
      <c r="D5" t="s">
        <v>29</v>
      </c>
      <c r="E5" t="s">
        <v>30</v>
      </c>
      <c r="F5" t="s">
        <v>1239</v>
      </c>
      <c r="G5" t="s">
        <v>31</v>
      </c>
      <c r="H5">
        <v>5</v>
      </c>
      <c r="I5">
        <v>17.489999999999998</v>
      </c>
      <c r="J5">
        <v>10</v>
      </c>
      <c r="K5">
        <v>78.7</v>
      </c>
      <c r="L5">
        <v>35.99</v>
      </c>
      <c r="M5">
        <v>179.95000000000002</v>
      </c>
      <c r="N5">
        <v>30</v>
      </c>
      <c r="O5" t="s">
        <v>19</v>
      </c>
      <c r="P5" t="s">
        <v>32</v>
      </c>
    </row>
    <row r="6" spans="1:16">
      <c r="A6">
        <v>100058</v>
      </c>
      <c r="B6" s="4">
        <v>45206</v>
      </c>
      <c r="C6" t="s">
        <v>33</v>
      </c>
      <c r="D6" t="s">
        <v>34</v>
      </c>
      <c r="E6" t="s">
        <v>30</v>
      </c>
      <c r="F6" t="s">
        <v>1238</v>
      </c>
      <c r="G6" t="s">
        <v>31</v>
      </c>
      <c r="H6">
        <v>3</v>
      </c>
      <c r="I6">
        <v>58.96</v>
      </c>
      <c r="J6">
        <v>5</v>
      </c>
      <c r="K6">
        <v>168.04</v>
      </c>
      <c r="L6">
        <v>68.38</v>
      </c>
      <c r="M6">
        <v>205.14</v>
      </c>
      <c r="N6">
        <v>30</v>
      </c>
      <c r="O6" t="s">
        <v>19</v>
      </c>
      <c r="P6" t="s">
        <v>35</v>
      </c>
    </row>
    <row r="7" spans="1:16">
      <c r="A7">
        <v>100815</v>
      </c>
      <c r="B7" s="4">
        <v>44947</v>
      </c>
      <c r="C7" t="s">
        <v>1172</v>
      </c>
      <c r="D7" t="s">
        <v>29</v>
      </c>
      <c r="E7" t="s">
        <v>30</v>
      </c>
      <c r="F7" t="s">
        <v>1241</v>
      </c>
      <c r="G7" t="s">
        <v>31</v>
      </c>
      <c r="H7">
        <v>4</v>
      </c>
      <c r="I7">
        <v>17.84</v>
      </c>
      <c r="J7">
        <v>0</v>
      </c>
      <c r="K7">
        <v>71.36</v>
      </c>
      <c r="L7">
        <v>26.79</v>
      </c>
      <c r="M7">
        <v>107.16</v>
      </c>
      <c r="N7">
        <v>34</v>
      </c>
      <c r="O7" t="s">
        <v>19</v>
      </c>
      <c r="P7" t="s">
        <v>81</v>
      </c>
    </row>
    <row r="8" spans="1:16">
      <c r="A8">
        <v>100216</v>
      </c>
      <c r="B8" s="4">
        <v>45873</v>
      </c>
      <c r="C8" t="s">
        <v>1163</v>
      </c>
      <c r="D8" t="s">
        <v>29</v>
      </c>
      <c r="E8" t="s">
        <v>30</v>
      </c>
      <c r="F8" t="s">
        <v>1237</v>
      </c>
      <c r="G8" t="s">
        <v>18</v>
      </c>
      <c r="H8">
        <v>4</v>
      </c>
      <c r="I8">
        <v>18.86</v>
      </c>
      <c r="J8">
        <v>0</v>
      </c>
      <c r="K8">
        <v>75.44</v>
      </c>
      <c r="L8">
        <v>28.6</v>
      </c>
      <c r="M8">
        <v>114.4</v>
      </c>
      <c r="N8">
        <v>28</v>
      </c>
      <c r="O8" t="s">
        <v>19</v>
      </c>
      <c r="P8" t="s">
        <v>20</v>
      </c>
    </row>
    <row r="9" spans="1:16">
      <c r="A9">
        <v>100974</v>
      </c>
      <c r="B9" s="4">
        <v>45283</v>
      </c>
      <c r="C9" t="s">
        <v>40</v>
      </c>
      <c r="D9" t="s">
        <v>34</v>
      </c>
      <c r="E9" t="s">
        <v>30</v>
      </c>
      <c r="F9" t="s">
        <v>1240</v>
      </c>
      <c r="G9" t="s">
        <v>31</v>
      </c>
      <c r="H9">
        <v>3</v>
      </c>
      <c r="I9">
        <v>57.19</v>
      </c>
      <c r="J9">
        <v>0</v>
      </c>
      <c r="K9">
        <v>171.57</v>
      </c>
      <c r="L9">
        <v>52.43</v>
      </c>
      <c r="M9">
        <v>157.29</v>
      </c>
      <c r="N9">
        <v>49</v>
      </c>
      <c r="O9" t="s">
        <v>19</v>
      </c>
      <c r="P9" t="s">
        <v>27</v>
      </c>
    </row>
    <row r="10" spans="1:16">
      <c r="A10">
        <v>100187</v>
      </c>
      <c r="B10" s="4">
        <v>45490</v>
      </c>
      <c r="C10" t="s">
        <v>1161</v>
      </c>
      <c r="D10" t="s">
        <v>45</v>
      </c>
      <c r="E10" t="s">
        <v>30</v>
      </c>
      <c r="F10" t="s">
        <v>1241</v>
      </c>
      <c r="G10" t="s">
        <v>18</v>
      </c>
      <c r="H10">
        <v>3</v>
      </c>
      <c r="I10">
        <v>14.94</v>
      </c>
      <c r="J10">
        <v>5</v>
      </c>
      <c r="K10">
        <v>42.58</v>
      </c>
      <c r="L10">
        <v>21.21</v>
      </c>
      <c r="M10">
        <v>63.63</v>
      </c>
      <c r="N10">
        <v>29</v>
      </c>
      <c r="O10" t="s">
        <v>19</v>
      </c>
      <c r="P10" t="s">
        <v>35</v>
      </c>
    </row>
    <row r="11" spans="1:16">
      <c r="A11">
        <v>100379</v>
      </c>
      <c r="B11" s="4">
        <v>45690</v>
      </c>
      <c r="C11" t="s">
        <v>1160</v>
      </c>
      <c r="D11" t="s">
        <v>53</v>
      </c>
      <c r="E11" t="s">
        <v>30</v>
      </c>
      <c r="F11" t="s">
        <v>1239</v>
      </c>
      <c r="G11" t="s">
        <v>18</v>
      </c>
      <c r="H11">
        <v>2</v>
      </c>
      <c r="I11">
        <v>23.11</v>
      </c>
      <c r="J11">
        <v>0</v>
      </c>
      <c r="K11">
        <v>46.22</v>
      </c>
      <c r="L11">
        <v>15.51</v>
      </c>
      <c r="M11">
        <v>31.02</v>
      </c>
      <c r="N11">
        <v>30</v>
      </c>
      <c r="O11" t="s">
        <v>19</v>
      </c>
      <c r="P11" t="s">
        <v>20</v>
      </c>
    </row>
    <row r="12" spans="1:16">
      <c r="A12">
        <v>100064</v>
      </c>
      <c r="B12" s="4">
        <v>45037</v>
      </c>
      <c r="C12" t="s">
        <v>1156</v>
      </c>
      <c r="D12" t="s">
        <v>77</v>
      </c>
      <c r="E12" t="s">
        <v>30</v>
      </c>
      <c r="F12" t="s">
        <v>1238</v>
      </c>
      <c r="G12" t="s">
        <v>31</v>
      </c>
      <c r="H12">
        <v>1</v>
      </c>
      <c r="I12">
        <v>38.49</v>
      </c>
      <c r="J12">
        <v>10</v>
      </c>
      <c r="K12">
        <v>34.64</v>
      </c>
      <c r="L12">
        <v>11.99</v>
      </c>
      <c r="M12">
        <v>11.99</v>
      </c>
      <c r="N12">
        <v>39</v>
      </c>
      <c r="O12" t="s">
        <v>19</v>
      </c>
      <c r="P12" t="s">
        <v>32</v>
      </c>
    </row>
    <row r="13" spans="1:16">
      <c r="A13">
        <v>101086</v>
      </c>
      <c r="B13" s="4">
        <v>45415</v>
      </c>
      <c r="C13" t="s">
        <v>1153</v>
      </c>
      <c r="D13" t="s">
        <v>77</v>
      </c>
      <c r="E13" t="s">
        <v>30</v>
      </c>
      <c r="F13" t="s">
        <v>1241</v>
      </c>
      <c r="G13" t="s">
        <v>18</v>
      </c>
      <c r="H13">
        <v>5</v>
      </c>
      <c r="I13">
        <v>41.63</v>
      </c>
      <c r="J13">
        <v>0</v>
      </c>
      <c r="K13">
        <v>208.15</v>
      </c>
      <c r="L13">
        <v>59.23</v>
      </c>
      <c r="M13">
        <v>296.14999999999998</v>
      </c>
      <c r="N13">
        <v>45</v>
      </c>
      <c r="O13" t="s">
        <v>19</v>
      </c>
      <c r="P13" t="s">
        <v>27</v>
      </c>
    </row>
    <row r="14" spans="1:16">
      <c r="A14">
        <v>100418</v>
      </c>
      <c r="B14" s="4">
        <v>45860</v>
      </c>
      <c r="C14" t="s">
        <v>1150</v>
      </c>
      <c r="D14" t="s">
        <v>77</v>
      </c>
      <c r="E14" t="s">
        <v>30</v>
      </c>
      <c r="F14" t="s">
        <v>1237</v>
      </c>
      <c r="G14" t="s">
        <v>18</v>
      </c>
      <c r="H14">
        <v>2</v>
      </c>
      <c r="I14">
        <v>42.82</v>
      </c>
      <c r="J14">
        <v>5</v>
      </c>
      <c r="K14">
        <v>81.36</v>
      </c>
      <c r="L14">
        <v>24.27</v>
      </c>
      <c r="M14">
        <v>48.54</v>
      </c>
      <c r="N14">
        <v>26</v>
      </c>
      <c r="O14" t="s">
        <v>19</v>
      </c>
      <c r="P14" t="s">
        <v>43</v>
      </c>
    </row>
    <row r="15" spans="1:16">
      <c r="A15">
        <v>100134</v>
      </c>
      <c r="B15" s="4">
        <v>45792</v>
      </c>
      <c r="C15" t="s">
        <v>1144</v>
      </c>
      <c r="D15" t="s">
        <v>45</v>
      </c>
      <c r="E15" t="s">
        <v>30</v>
      </c>
      <c r="F15" t="s">
        <v>1237</v>
      </c>
      <c r="G15" t="s">
        <v>31</v>
      </c>
      <c r="H15">
        <v>3</v>
      </c>
      <c r="I15">
        <v>15.91</v>
      </c>
      <c r="J15">
        <v>0</v>
      </c>
      <c r="K15">
        <v>47.73</v>
      </c>
      <c r="L15">
        <v>11.03</v>
      </c>
      <c r="M15">
        <v>33.089999999999996</v>
      </c>
      <c r="N15">
        <v>31</v>
      </c>
      <c r="O15" t="s">
        <v>19</v>
      </c>
      <c r="P15" t="s">
        <v>81</v>
      </c>
    </row>
    <row r="16" spans="1:16">
      <c r="A16">
        <v>100779</v>
      </c>
      <c r="B16" s="4">
        <v>45013</v>
      </c>
      <c r="C16" t="s">
        <v>1142</v>
      </c>
      <c r="D16" t="s">
        <v>34</v>
      </c>
      <c r="E16" t="s">
        <v>30</v>
      </c>
      <c r="F16" t="s">
        <v>1238</v>
      </c>
      <c r="G16" t="s">
        <v>18</v>
      </c>
      <c r="H16">
        <v>3</v>
      </c>
      <c r="I16">
        <v>56.54</v>
      </c>
      <c r="J16">
        <v>5</v>
      </c>
      <c r="K16">
        <v>161.13999999999999</v>
      </c>
      <c r="L16">
        <v>47.71</v>
      </c>
      <c r="M16">
        <v>143.13</v>
      </c>
      <c r="N16">
        <v>22</v>
      </c>
      <c r="O16" t="s">
        <v>19</v>
      </c>
      <c r="P16" t="s">
        <v>51</v>
      </c>
    </row>
    <row r="17" spans="1:16">
      <c r="A17">
        <v>100960</v>
      </c>
      <c r="B17" s="4">
        <v>45650</v>
      </c>
      <c r="C17" t="s">
        <v>1132</v>
      </c>
      <c r="D17" t="s">
        <v>77</v>
      </c>
      <c r="E17" t="s">
        <v>30</v>
      </c>
      <c r="F17" t="s">
        <v>1241</v>
      </c>
      <c r="G17" t="s">
        <v>48</v>
      </c>
      <c r="H17">
        <v>2</v>
      </c>
      <c r="I17">
        <v>42.21</v>
      </c>
      <c r="J17">
        <v>0</v>
      </c>
      <c r="K17">
        <v>84.42</v>
      </c>
      <c r="L17">
        <v>23.82</v>
      </c>
      <c r="M17">
        <v>47.64</v>
      </c>
      <c r="N17">
        <v>27</v>
      </c>
      <c r="O17" t="s">
        <v>19</v>
      </c>
      <c r="P17" t="s">
        <v>35</v>
      </c>
    </row>
    <row r="18" spans="1:16">
      <c r="A18">
        <v>100523</v>
      </c>
      <c r="B18" s="4">
        <v>45463</v>
      </c>
      <c r="C18" t="s">
        <v>57</v>
      </c>
      <c r="D18" t="s">
        <v>45</v>
      </c>
      <c r="E18" t="s">
        <v>30</v>
      </c>
      <c r="F18" t="s">
        <v>1238</v>
      </c>
      <c r="G18" t="s">
        <v>31</v>
      </c>
      <c r="H18">
        <v>4</v>
      </c>
      <c r="I18">
        <v>13.98</v>
      </c>
      <c r="J18">
        <v>5</v>
      </c>
      <c r="K18">
        <v>53.12</v>
      </c>
      <c r="L18">
        <v>18.21</v>
      </c>
      <c r="M18">
        <v>72.84</v>
      </c>
      <c r="N18">
        <v>51</v>
      </c>
      <c r="O18" t="s">
        <v>19</v>
      </c>
      <c r="P18" t="s">
        <v>46</v>
      </c>
    </row>
    <row r="19" spans="1:16">
      <c r="A19">
        <v>100766</v>
      </c>
      <c r="B19" s="4">
        <v>45511</v>
      </c>
      <c r="C19" t="s">
        <v>1127</v>
      </c>
      <c r="D19" t="s">
        <v>56</v>
      </c>
      <c r="E19" t="s">
        <v>30</v>
      </c>
      <c r="F19" t="s">
        <v>1238</v>
      </c>
      <c r="G19" t="s">
        <v>48</v>
      </c>
      <c r="H19">
        <v>2</v>
      </c>
      <c r="I19">
        <v>47.14</v>
      </c>
      <c r="J19">
        <v>0</v>
      </c>
      <c r="K19">
        <v>94.28</v>
      </c>
      <c r="L19">
        <v>27.22</v>
      </c>
      <c r="M19">
        <v>54.44</v>
      </c>
      <c r="N19">
        <v>17</v>
      </c>
      <c r="O19" t="s">
        <v>19</v>
      </c>
      <c r="P19" t="s">
        <v>20</v>
      </c>
    </row>
    <row r="20" spans="1:16">
      <c r="A20">
        <v>100397</v>
      </c>
      <c r="B20" s="4">
        <v>45193</v>
      </c>
      <c r="C20" t="s">
        <v>1126</v>
      </c>
      <c r="D20" t="s">
        <v>77</v>
      </c>
      <c r="E20" t="s">
        <v>30</v>
      </c>
      <c r="F20" t="s">
        <v>1239</v>
      </c>
      <c r="G20" t="s">
        <v>31</v>
      </c>
      <c r="H20">
        <v>1</v>
      </c>
      <c r="I20">
        <v>36.369999999999997</v>
      </c>
      <c r="J20">
        <v>5</v>
      </c>
      <c r="K20">
        <v>34.549999999999997</v>
      </c>
      <c r="L20">
        <v>10.85</v>
      </c>
      <c r="M20">
        <v>10.85</v>
      </c>
      <c r="N20">
        <v>22</v>
      </c>
      <c r="O20" t="s">
        <v>19</v>
      </c>
      <c r="P20" t="s">
        <v>27</v>
      </c>
    </row>
    <row r="21" spans="1:16">
      <c r="A21">
        <v>100794</v>
      </c>
      <c r="B21" s="4">
        <v>45292</v>
      </c>
      <c r="C21" t="s">
        <v>1124</v>
      </c>
      <c r="D21" t="s">
        <v>45</v>
      </c>
      <c r="E21" t="s">
        <v>30</v>
      </c>
      <c r="F21" t="s">
        <v>1238</v>
      </c>
      <c r="G21" t="s">
        <v>48</v>
      </c>
      <c r="H21">
        <v>4</v>
      </c>
      <c r="I21">
        <v>16.739999999999998</v>
      </c>
      <c r="J21">
        <v>5</v>
      </c>
      <c r="K21">
        <v>63.61</v>
      </c>
      <c r="L21">
        <v>20.64</v>
      </c>
      <c r="M21">
        <v>82.56</v>
      </c>
      <c r="N21">
        <v>30</v>
      </c>
      <c r="O21" t="s">
        <v>19</v>
      </c>
      <c r="P21" t="s">
        <v>27</v>
      </c>
    </row>
    <row r="22" spans="1:16">
      <c r="A22">
        <v>100742</v>
      </c>
      <c r="B22" s="4">
        <v>45710</v>
      </c>
      <c r="C22" t="s">
        <v>1119</v>
      </c>
      <c r="D22" t="s">
        <v>77</v>
      </c>
      <c r="E22" t="s">
        <v>30</v>
      </c>
      <c r="F22" t="s">
        <v>1237</v>
      </c>
      <c r="G22" t="s">
        <v>48</v>
      </c>
      <c r="H22">
        <v>6</v>
      </c>
      <c r="I22">
        <v>44.67</v>
      </c>
      <c r="J22">
        <v>0</v>
      </c>
      <c r="K22">
        <v>268.02</v>
      </c>
      <c r="L22">
        <v>60.38</v>
      </c>
      <c r="M22">
        <v>362.28000000000003</v>
      </c>
      <c r="N22">
        <v>38</v>
      </c>
      <c r="O22" t="s">
        <v>19</v>
      </c>
      <c r="P22" t="s">
        <v>43</v>
      </c>
    </row>
    <row r="23" spans="1:16">
      <c r="A23">
        <v>100632</v>
      </c>
      <c r="B23" s="4">
        <v>45867</v>
      </c>
      <c r="C23" t="s">
        <v>1101</v>
      </c>
      <c r="D23" t="s">
        <v>34</v>
      </c>
      <c r="E23" t="s">
        <v>30</v>
      </c>
      <c r="F23" t="s">
        <v>1239</v>
      </c>
      <c r="G23" t="s">
        <v>64</v>
      </c>
      <c r="H23">
        <v>4</v>
      </c>
      <c r="I23">
        <v>61.02</v>
      </c>
      <c r="J23">
        <v>0</v>
      </c>
      <c r="K23">
        <v>244.08</v>
      </c>
      <c r="L23">
        <v>98.09</v>
      </c>
      <c r="M23">
        <v>392.36</v>
      </c>
      <c r="N23">
        <v>36</v>
      </c>
      <c r="O23" t="s">
        <v>19</v>
      </c>
      <c r="P23" t="s">
        <v>32</v>
      </c>
    </row>
    <row r="24" spans="1:16">
      <c r="A24">
        <v>100972</v>
      </c>
      <c r="B24" s="4">
        <v>45560</v>
      </c>
      <c r="C24" t="s">
        <v>1099</v>
      </c>
      <c r="D24" t="s">
        <v>53</v>
      </c>
      <c r="E24" t="s">
        <v>30</v>
      </c>
      <c r="F24" t="s">
        <v>1237</v>
      </c>
      <c r="G24" t="s">
        <v>18</v>
      </c>
      <c r="H24">
        <v>3</v>
      </c>
      <c r="I24">
        <v>22.45</v>
      </c>
      <c r="J24">
        <v>0</v>
      </c>
      <c r="K24">
        <v>67.349999999999994</v>
      </c>
      <c r="L24">
        <v>19.29</v>
      </c>
      <c r="M24">
        <v>57.87</v>
      </c>
      <c r="N24">
        <v>34</v>
      </c>
      <c r="O24" t="s">
        <v>19</v>
      </c>
      <c r="P24" t="s">
        <v>43</v>
      </c>
    </row>
    <row r="25" spans="1:16">
      <c r="A25">
        <v>100648</v>
      </c>
      <c r="B25" s="4">
        <v>45784</v>
      </c>
      <c r="C25" t="s">
        <v>1097</v>
      </c>
      <c r="D25" t="s">
        <v>53</v>
      </c>
      <c r="E25" t="s">
        <v>30</v>
      </c>
      <c r="F25" t="s">
        <v>1238</v>
      </c>
      <c r="G25" t="s">
        <v>18</v>
      </c>
      <c r="H25">
        <v>2</v>
      </c>
      <c r="I25">
        <v>22.28</v>
      </c>
      <c r="J25">
        <v>0</v>
      </c>
      <c r="K25">
        <v>44.56</v>
      </c>
      <c r="L25">
        <v>17.899999999999999</v>
      </c>
      <c r="M25">
        <v>35.799999999999997</v>
      </c>
      <c r="N25">
        <v>31</v>
      </c>
      <c r="O25" t="s">
        <v>19</v>
      </c>
      <c r="P25" t="s">
        <v>35</v>
      </c>
    </row>
    <row r="26" spans="1:16">
      <c r="A26">
        <v>100951</v>
      </c>
      <c r="B26" s="4">
        <v>45098</v>
      </c>
      <c r="C26" t="s">
        <v>1091</v>
      </c>
      <c r="D26" t="s">
        <v>53</v>
      </c>
      <c r="E26" t="s">
        <v>30</v>
      </c>
      <c r="F26" t="s">
        <v>1238</v>
      </c>
      <c r="G26" t="s">
        <v>31</v>
      </c>
      <c r="H26">
        <v>1</v>
      </c>
      <c r="I26">
        <v>22.24</v>
      </c>
      <c r="J26">
        <v>5</v>
      </c>
      <c r="K26">
        <v>21.13</v>
      </c>
      <c r="L26">
        <v>4.41</v>
      </c>
      <c r="M26">
        <v>4.41</v>
      </c>
      <c r="N26">
        <v>31</v>
      </c>
      <c r="O26" t="s">
        <v>19</v>
      </c>
      <c r="P26" t="s">
        <v>46</v>
      </c>
    </row>
    <row r="27" spans="1:16">
      <c r="A27">
        <v>100112</v>
      </c>
      <c r="B27" s="4">
        <v>45862</v>
      </c>
      <c r="C27" t="s">
        <v>1089</v>
      </c>
      <c r="D27" t="s">
        <v>53</v>
      </c>
      <c r="E27" t="s">
        <v>30</v>
      </c>
      <c r="F27" t="s">
        <v>1241</v>
      </c>
      <c r="G27" t="s">
        <v>48</v>
      </c>
      <c r="H27">
        <v>4</v>
      </c>
      <c r="I27">
        <v>20.440000000000001</v>
      </c>
      <c r="J27">
        <v>0</v>
      </c>
      <c r="K27">
        <v>81.760000000000005</v>
      </c>
      <c r="L27">
        <v>28.62</v>
      </c>
      <c r="M27">
        <v>114.48</v>
      </c>
      <c r="N27">
        <v>34</v>
      </c>
      <c r="O27" t="s">
        <v>19</v>
      </c>
      <c r="P27" t="s">
        <v>46</v>
      </c>
    </row>
    <row r="28" spans="1:16">
      <c r="A28">
        <v>100751</v>
      </c>
      <c r="B28" s="4">
        <v>45026</v>
      </c>
      <c r="C28" t="s">
        <v>1071</v>
      </c>
      <c r="D28" t="s">
        <v>34</v>
      </c>
      <c r="E28" t="s">
        <v>30</v>
      </c>
      <c r="F28" t="s">
        <v>1238</v>
      </c>
      <c r="G28" t="s">
        <v>18</v>
      </c>
      <c r="H28">
        <v>1</v>
      </c>
      <c r="I28">
        <v>60.95</v>
      </c>
      <c r="J28">
        <v>5</v>
      </c>
      <c r="K28">
        <v>57.9</v>
      </c>
      <c r="L28">
        <v>23.88</v>
      </c>
      <c r="M28">
        <v>23.88</v>
      </c>
      <c r="N28">
        <v>28</v>
      </c>
      <c r="O28" t="s">
        <v>19</v>
      </c>
      <c r="P28" t="s">
        <v>51</v>
      </c>
    </row>
    <row r="29" spans="1:16">
      <c r="A29">
        <v>100608</v>
      </c>
      <c r="B29" s="4">
        <v>45569</v>
      </c>
      <c r="C29" t="s">
        <v>1069</v>
      </c>
      <c r="D29" t="s">
        <v>29</v>
      </c>
      <c r="E29" t="s">
        <v>30</v>
      </c>
      <c r="F29" t="s">
        <v>1238</v>
      </c>
      <c r="G29" t="s">
        <v>18</v>
      </c>
      <c r="H29">
        <v>2</v>
      </c>
      <c r="I29">
        <v>18.899999999999999</v>
      </c>
      <c r="J29">
        <v>0</v>
      </c>
      <c r="K29">
        <v>37.799999999999997</v>
      </c>
      <c r="L29">
        <v>11.84</v>
      </c>
      <c r="M29">
        <v>23.68</v>
      </c>
      <c r="N29">
        <v>22</v>
      </c>
      <c r="O29" t="s">
        <v>19</v>
      </c>
      <c r="P29" t="s">
        <v>32</v>
      </c>
    </row>
    <row r="30" spans="1:16">
      <c r="A30">
        <v>100358</v>
      </c>
      <c r="B30" s="4">
        <v>45798</v>
      </c>
      <c r="C30" t="s">
        <v>76</v>
      </c>
      <c r="D30" t="s">
        <v>77</v>
      </c>
      <c r="E30" t="s">
        <v>30</v>
      </c>
      <c r="F30" t="s">
        <v>1237</v>
      </c>
      <c r="G30" t="s">
        <v>64</v>
      </c>
      <c r="H30">
        <v>1</v>
      </c>
      <c r="I30">
        <v>41.79</v>
      </c>
      <c r="J30">
        <v>10</v>
      </c>
      <c r="K30">
        <v>37.61</v>
      </c>
      <c r="L30">
        <v>11.63</v>
      </c>
      <c r="M30">
        <v>11.63</v>
      </c>
      <c r="N30">
        <v>29</v>
      </c>
      <c r="O30" t="s">
        <v>19</v>
      </c>
      <c r="P30" t="s">
        <v>51</v>
      </c>
    </row>
    <row r="31" spans="1:16">
      <c r="A31">
        <v>100962</v>
      </c>
      <c r="B31" s="4">
        <v>45578</v>
      </c>
      <c r="C31" t="s">
        <v>1060</v>
      </c>
      <c r="D31" t="s">
        <v>77</v>
      </c>
      <c r="E31" t="s">
        <v>30</v>
      </c>
      <c r="F31" t="s">
        <v>1238</v>
      </c>
      <c r="G31" t="s">
        <v>18</v>
      </c>
      <c r="H31">
        <v>5</v>
      </c>
      <c r="I31">
        <v>38.92</v>
      </c>
      <c r="J31">
        <v>0</v>
      </c>
      <c r="K31">
        <v>194.6</v>
      </c>
      <c r="L31">
        <v>66.099999999999994</v>
      </c>
      <c r="M31">
        <v>330.5</v>
      </c>
      <c r="N31">
        <v>33</v>
      </c>
      <c r="O31" t="s">
        <v>19</v>
      </c>
      <c r="P31" t="s">
        <v>32</v>
      </c>
    </row>
    <row r="32" spans="1:16">
      <c r="A32">
        <v>100147</v>
      </c>
      <c r="B32" s="4">
        <v>45402</v>
      </c>
      <c r="C32" t="s">
        <v>1057</v>
      </c>
      <c r="D32" t="s">
        <v>77</v>
      </c>
      <c r="E32" t="s">
        <v>30</v>
      </c>
      <c r="F32" t="s">
        <v>1238</v>
      </c>
      <c r="G32" t="s">
        <v>64</v>
      </c>
      <c r="H32">
        <v>2</v>
      </c>
      <c r="I32">
        <v>41.99</v>
      </c>
      <c r="J32">
        <v>0</v>
      </c>
      <c r="K32">
        <v>83.98</v>
      </c>
      <c r="L32">
        <v>29.95</v>
      </c>
      <c r="M32">
        <v>59.9</v>
      </c>
      <c r="N32">
        <v>34</v>
      </c>
      <c r="O32" t="s">
        <v>19</v>
      </c>
      <c r="P32" t="s">
        <v>43</v>
      </c>
    </row>
    <row r="33" spans="1:16">
      <c r="A33">
        <v>101142</v>
      </c>
      <c r="B33" s="4">
        <v>45809</v>
      </c>
      <c r="C33" t="s">
        <v>1048</v>
      </c>
      <c r="D33" t="s">
        <v>34</v>
      </c>
      <c r="E33" t="s">
        <v>30</v>
      </c>
      <c r="F33" t="s">
        <v>1241</v>
      </c>
      <c r="G33" t="s">
        <v>31</v>
      </c>
      <c r="H33">
        <v>3</v>
      </c>
      <c r="I33">
        <v>63.38</v>
      </c>
      <c r="J33">
        <v>20</v>
      </c>
      <c r="K33">
        <v>152.11000000000001</v>
      </c>
      <c r="L33">
        <v>48.89</v>
      </c>
      <c r="M33">
        <v>146.67000000000002</v>
      </c>
      <c r="N33">
        <v>31</v>
      </c>
      <c r="O33" t="s">
        <v>19</v>
      </c>
      <c r="P33" t="s">
        <v>81</v>
      </c>
    </row>
    <row r="34" spans="1:16">
      <c r="A34">
        <v>100640</v>
      </c>
      <c r="B34" s="4">
        <v>45042</v>
      </c>
      <c r="C34" t="s">
        <v>1046</v>
      </c>
      <c r="D34" t="s">
        <v>77</v>
      </c>
      <c r="E34" t="s">
        <v>30</v>
      </c>
      <c r="F34" t="s">
        <v>1237</v>
      </c>
      <c r="G34" t="s">
        <v>18</v>
      </c>
      <c r="H34">
        <v>4</v>
      </c>
      <c r="I34">
        <v>38.24</v>
      </c>
      <c r="J34">
        <v>5</v>
      </c>
      <c r="K34">
        <v>145.31</v>
      </c>
      <c r="L34">
        <v>46.46</v>
      </c>
      <c r="M34">
        <v>185.84</v>
      </c>
      <c r="N34">
        <v>25</v>
      </c>
      <c r="O34" t="s">
        <v>19</v>
      </c>
      <c r="P34" t="s">
        <v>20</v>
      </c>
    </row>
    <row r="35" spans="1:16">
      <c r="A35">
        <v>100778</v>
      </c>
      <c r="B35" s="4">
        <v>45389</v>
      </c>
      <c r="C35" t="s">
        <v>1045</v>
      </c>
      <c r="D35" t="s">
        <v>53</v>
      </c>
      <c r="E35" t="s">
        <v>30</v>
      </c>
      <c r="F35" t="s">
        <v>1241</v>
      </c>
      <c r="G35" t="s">
        <v>18</v>
      </c>
      <c r="H35">
        <v>3</v>
      </c>
      <c r="I35">
        <v>21.53</v>
      </c>
      <c r="J35">
        <v>0</v>
      </c>
      <c r="K35">
        <v>64.59</v>
      </c>
      <c r="L35">
        <v>13.01</v>
      </c>
      <c r="M35">
        <v>39.03</v>
      </c>
      <c r="N35">
        <v>26</v>
      </c>
      <c r="O35" t="s">
        <v>19</v>
      </c>
      <c r="P35" t="s">
        <v>43</v>
      </c>
    </row>
    <row r="36" spans="1:16">
      <c r="A36">
        <v>101048</v>
      </c>
      <c r="B36" s="4">
        <v>44973</v>
      </c>
      <c r="C36" t="s">
        <v>1028</v>
      </c>
      <c r="D36" t="s">
        <v>45</v>
      </c>
      <c r="E36" t="s">
        <v>30</v>
      </c>
      <c r="F36" t="s">
        <v>1241</v>
      </c>
      <c r="G36" t="s">
        <v>18</v>
      </c>
      <c r="H36">
        <v>2</v>
      </c>
      <c r="I36">
        <v>15.14</v>
      </c>
      <c r="J36">
        <v>20</v>
      </c>
      <c r="K36">
        <v>24.22</v>
      </c>
      <c r="L36">
        <v>8.77</v>
      </c>
      <c r="M36">
        <v>17.54</v>
      </c>
      <c r="N36">
        <v>28</v>
      </c>
      <c r="O36" t="s">
        <v>19</v>
      </c>
      <c r="P36" t="s">
        <v>35</v>
      </c>
    </row>
    <row r="37" spans="1:16">
      <c r="A37">
        <v>100651</v>
      </c>
      <c r="B37" s="4">
        <v>45911</v>
      </c>
      <c r="C37" t="s">
        <v>1024</v>
      </c>
      <c r="D37" t="s">
        <v>56</v>
      </c>
      <c r="E37" t="s">
        <v>30</v>
      </c>
      <c r="F37" t="s">
        <v>1241</v>
      </c>
      <c r="G37" t="s">
        <v>48</v>
      </c>
      <c r="H37">
        <v>5</v>
      </c>
      <c r="I37">
        <v>45.43</v>
      </c>
      <c r="J37">
        <v>0</v>
      </c>
      <c r="K37">
        <v>227.15</v>
      </c>
      <c r="L37">
        <v>90.51</v>
      </c>
      <c r="M37">
        <v>452.55</v>
      </c>
      <c r="N37">
        <v>16</v>
      </c>
      <c r="O37" t="s">
        <v>19</v>
      </c>
      <c r="P37" t="s">
        <v>32</v>
      </c>
    </row>
    <row r="38" spans="1:16">
      <c r="A38">
        <v>101096</v>
      </c>
      <c r="B38" s="4">
        <v>45406</v>
      </c>
      <c r="C38" t="s">
        <v>1018</v>
      </c>
      <c r="D38" t="s">
        <v>45</v>
      </c>
      <c r="E38" t="s">
        <v>30</v>
      </c>
      <c r="F38" t="s">
        <v>1238</v>
      </c>
      <c r="G38" t="s">
        <v>18</v>
      </c>
      <c r="H38">
        <v>2</v>
      </c>
      <c r="I38">
        <v>12.76</v>
      </c>
      <c r="J38">
        <v>0</v>
      </c>
      <c r="K38">
        <v>25.52</v>
      </c>
      <c r="L38">
        <v>9.16</v>
      </c>
      <c r="M38">
        <v>18.32</v>
      </c>
      <c r="N38">
        <v>22</v>
      </c>
      <c r="O38" t="s">
        <v>19</v>
      </c>
      <c r="P38" t="s">
        <v>32</v>
      </c>
    </row>
    <row r="39" spans="1:16">
      <c r="A39">
        <v>100207</v>
      </c>
      <c r="B39" s="4">
        <v>45652</v>
      </c>
      <c r="C39" t="s">
        <v>1016</v>
      </c>
      <c r="D39" t="s">
        <v>77</v>
      </c>
      <c r="E39" t="s">
        <v>30</v>
      </c>
      <c r="F39" t="s">
        <v>1237</v>
      </c>
      <c r="G39" t="s">
        <v>18</v>
      </c>
      <c r="H39">
        <v>1</v>
      </c>
      <c r="I39">
        <v>38.24</v>
      </c>
      <c r="J39">
        <v>5</v>
      </c>
      <c r="K39">
        <v>36.33</v>
      </c>
      <c r="L39">
        <v>13.84</v>
      </c>
      <c r="M39">
        <v>13.84</v>
      </c>
      <c r="N39">
        <v>30</v>
      </c>
      <c r="O39" t="s">
        <v>19</v>
      </c>
      <c r="P39" t="s">
        <v>32</v>
      </c>
    </row>
    <row r="40" spans="1:16">
      <c r="A40">
        <v>100103</v>
      </c>
      <c r="B40" s="4">
        <v>45310</v>
      </c>
      <c r="C40" t="s">
        <v>1003</v>
      </c>
      <c r="D40" t="s">
        <v>34</v>
      </c>
      <c r="E40" t="s">
        <v>30</v>
      </c>
      <c r="F40" t="s">
        <v>1238</v>
      </c>
      <c r="G40" t="s">
        <v>31</v>
      </c>
      <c r="H40">
        <v>3</v>
      </c>
      <c r="I40">
        <v>55.66</v>
      </c>
      <c r="J40">
        <v>10</v>
      </c>
      <c r="K40">
        <v>150.28</v>
      </c>
      <c r="L40">
        <v>78.88</v>
      </c>
      <c r="M40">
        <v>236.64</v>
      </c>
      <c r="N40">
        <v>17</v>
      </c>
      <c r="O40" t="s">
        <v>19</v>
      </c>
      <c r="P40" t="s">
        <v>35</v>
      </c>
    </row>
    <row r="41" spans="1:16">
      <c r="A41">
        <v>100226</v>
      </c>
      <c r="B41" s="4">
        <v>45236</v>
      </c>
      <c r="C41" t="s">
        <v>1000</v>
      </c>
      <c r="D41" t="s">
        <v>77</v>
      </c>
      <c r="E41" t="s">
        <v>30</v>
      </c>
      <c r="F41" t="s">
        <v>1241</v>
      </c>
      <c r="G41" t="s">
        <v>31</v>
      </c>
      <c r="H41">
        <v>3</v>
      </c>
      <c r="I41">
        <v>36.9</v>
      </c>
      <c r="J41">
        <v>0</v>
      </c>
      <c r="K41">
        <v>110.7</v>
      </c>
      <c r="L41">
        <v>40.799999999999997</v>
      </c>
      <c r="M41">
        <v>122.39999999999999</v>
      </c>
      <c r="N41">
        <v>17</v>
      </c>
      <c r="O41" t="s">
        <v>19</v>
      </c>
      <c r="P41" t="s">
        <v>81</v>
      </c>
    </row>
    <row r="42" spans="1:16">
      <c r="A42">
        <v>100579</v>
      </c>
      <c r="B42" s="4">
        <v>45598</v>
      </c>
      <c r="C42" t="s">
        <v>983</v>
      </c>
      <c r="D42" t="s">
        <v>77</v>
      </c>
      <c r="E42" t="s">
        <v>30</v>
      </c>
      <c r="F42" t="s">
        <v>1238</v>
      </c>
      <c r="G42" t="s">
        <v>31</v>
      </c>
      <c r="H42">
        <v>3</v>
      </c>
      <c r="I42">
        <v>41.83</v>
      </c>
      <c r="J42">
        <v>0</v>
      </c>
      <c r="K42">
        <v>125.49</v>
      </c>
      <c r="L42">
        <v>38.53</v>
      </c>
      <c r="M42">
        <v>115.59</v>
      </c>
      <c r="N42">
        <v>27</v>
      </c>
      <c r="O42" t="s">
        <v>19</v>
      </c>
      <c r="P42" t="s">
        <v>27</v>
      </c>
    </row>
    <row r="43" spans="1:16">
      <c r="A43">
        <v>100503</v>
      </c>
      <c r="B43" s="4">
        <v>45795</v>
      </c>
      <c r="C43" t="s">
        <v>977</v>
      </c>
      <c r="D43" t="s">
        <v>53</v>
      </c>
      <c r="E43" t="s">
        <v>30</v>
      </c>
      <c r="F43" t="s">
        <v>1238</v>
      </c>
      <c r="G43" t="s">
        <v>48</v>
      </c>
      <c r="H43">
        <v>4</v>
      </c>
      <c r="I43">
        <v>23.08</v>
      </c>
      <c r="J43">
        <v>5</v>
      </c>
      <c r="K43">
        <v>87.7</v>
      </c>
      <c r="L43">
        <v>22.7</v>
      </c>
      <c r="M43">
        <v>90.8</v>
      </c>
      <c r="N43">
        <v>28</v>
      </c>
      <c r="O43" t="s">
        <v>19</v>
      </c>
      <c r="P43" t="s">
        <v>20</v>
      </c>
    </row>
    <row r="44" spans="1:16">
      <c r="A44">
        <v>101175</v>
      </c>
      <c r="B44" s="4">
        <v>45065</v>
      </c>
      <c r="C44" t="s">
        <v>972</v>
      </c>
      <c r="D44" t="s">
        <v>34</v>
      </c>
      <c r="E44" t="s">
        <v>30</v>
      </c>
      <c r="F44" t="s">
        <v>1238</v>
      </c>
      <c r="G44" t="s">
        <v>18</v>
      </c>
      <c r="H44">
        <v>3</v>
      </c>
      <c r="I44">
        <v>60.68</v>
      </c>
      <c r="J44">
        <v>0</v>
      </c>
      <c r="K44">
        <v>182.04</v>
      </c>
      <c r="L44">
        <v>52.42</v>
      </c>
      <c r="M44">
        <v>157.26</v>
      </c>
      <c r="N44">
        <v>31</v>
      </c>
      <c r="O44" t="s">
        <v>19</v>
      </c>
      <c r="P44" t="s">
        <v>46</v>
      </c>
    </row>
    <row r="45" spans="1:16">
      <c r="A45">
        <v>100469</v>
      </c>
      <c r="B45" s="4">
        <v>45151</v>
      </c>
      <c r="C45" t="s">
        <v>966</v>
      </c>
      <c r="D45" t="s">
        <v>53</v>
      </c>
      <c r="E45" t="s">
        <v>30</v>
      </c>
      <c r="F45" t="s">
        <v>1241</v>
      </c>
      <c r="G45" t="s">
        <v>18</v>
      </c>
      <c r="H45">
        <v>3</v>
      </c>
      <c r="I45">
        <v>22.6</v>
      </c>
      <c r="J45">
        <v>20</v>
      </c>
      <c r="K45">
        <v>54.24</v>
      </c>
      <c r="L45">
        <v>14.07</v>
      </c>
      <c r="M45">
        <v>42.21</v>
      </c>
      <c r="N45">
        <v>21</v>
      </c>
      <c r="O45" t="s">
        <v>19</v>
      </c>
      <c r="P45" t="s">
        <v>43</v>
      </c>
    </row>
    <row r="46" spans="1:16">
      <c r="A46">
        <v>100229</v>
      </c>
      <c r="B46" s="4">
        <v>45702</v>
      </c>
      <c r="C46" t="s">
        <v>960</v>
      </c>
      <c r="D46" t="s">
        <v>45</v>
      </c>
      <c r="E46" t="s">
        <v>30</v>
      </c>
      <c r="F46" t="s">
        <v>1237</v>
      </c>
      <c r="G46" t="s">
        <v>31</v>
      </c>
      <c r="H46">
        <v>4</v>
      </c>
      <c r="I46">
        <v>17.100000000000001</v>
      </c>
      <c r="J46">
        <v>0</v>
      </c>
      <c r="K46">
        <v>68.400000000000006</v>
      </c>
      <c r="L46">
        <v>19.13</v>
      </c>
      <c r="M46">
        <v>76.52</v>
      </c>
      <c r="N46">
        <v>37</v>
      </c>
      <c r="O46" t="s">
        <v>19</v>
      </c>
      <c r="P46" t="s">
        <v>27</v>
      </c>
    </row>
    <row r="47" spans="1:16">
      <c r="A47">
        <v>100283</v>
      </c>
      <c r="B47" s="4">
        <v>45229</v>
      </c>
      <c r="C47" t="s">
        <v>949</v>
      </c>
      <c r="D47" t="s">
        <v>34</v>
      </c>
      <c r="E47" t="s">
        <v>30</v>
      </c>
      <c r="F47" t="s">
        <v>1241</v>
      </c>
      <c r="G47" t="s">
        <v>48</v>
      </c>
      <c r="H47">
        <v>2</v>
      </c>
      <c r="I47">
        <v>66.06</v>
      </c>
      <c r="J47">
        <v>0</v>
      </c>
      <c r="K47">
        <v>132.12</v>
      </c>
      <c r="L47">
        <v>38.5</v>
      </c>
      <c r="M47">
        <v>77</v>
      </c>
      <c r="N47">
        <v>50</v>
      </c>
      <c r="O47" t="s">
        <v>19</v>
      </c>
      <c r="P47" t="s">
        <v>43</v>
      </c>
    </row>
    <row r="48" spans="1:16">
      <c r="A48">
        <v>100977</v>
      </c>
      <c r="B48" s="4">
        <v>45420</v>
      </c>
      <c r="C48" t="s">
        <v>943</v>
      </c>
      <c r="D48" t="s">
        <v>45</v>
      </c>
      <c r="E48" t="s">
        <v>30</v>
      </c>
      <c r="F48" t="s">
        <v>1241</v>
      </c>
      <c r="G48" t="s">
        <v>31</v>
      </c>
      <c r="H48">
        <v>2</v>
      </c>
      <c r="I48">
        <v>14.39</v>
      </c>
      <c r="J48">
        <v>20</v>
      </c>
      <c r="K48">
        <v>23.02</v>
      </c>
      <c r="L48">
        <v>10.47</v>
      </c>
      <c r="M48">
        <v>20.94</v>
      </c>
      <c r="N48">
        <v>30</v>
      </c>
      <c r="O48" t="s">
        <v>19</v>
      </c>
      <c r="P48" t="s">
        <v>27</v>
      </c>
    </row>
    <row r="49" spans="1:16">
      <c r="A49">
        <v>100023</v>
      </c>
      <c r="B49" s="4">
        <v>45212</v>
      </c>
      <c r="C49" t="s">
        <v>98</v>
      </c>
      <c r="D49" t="s">
        <v>29</v>
      </c>
      <c r="E49" t="s">
        <v>30</v>
      </c>
      <c r="F49" t="s">
        <v>1239</v>
      </c>
      <c r="G49" t="s">
        <v>18</v>
      </c>
      <c r="H49">
        <v>3</v>
      </c>
      <c r="I49">
        <v>19.079999999999998</v>
      </c>
      <c r="J49">
        <v>20</v>
      </c>
      <c r="K49">
        <v>45.79</v>
      </c>
      <c r="L49">
        <v>19.61</v>
      </c>
      <c r="M49">
        <v>58.83</v>
      </c>
      <c r="N49">
        <v>41</v>
      </c>
      <c r="O49" t="s">
        <v>19</v>
      </c>
      <c r="P49" t="s">
        <v>27</v>
      </c>
    </row>
    <row r="50" spans="1:16">
      <c r="A50">
        <v>100016</v>
      </c>
      <c r="B50" s="4">
        <v>45058</v>
      </c>
      <c r="C50" t="s">
        <v>937</v>
      </c>
      <c r="D50" t="s">
        <v>53</v>
      </c>
      <c r="E50" t="s">
        <v>30</v>
      </c>
      <c r="F50" t="s">
        <v>1241</v>
      </c>
      <c r="G50" t="s">
        <v>31</v>
      </c>
      <c r="H50">
        <v>6</v>
      </c>
      <c r="I50">
        <v>20.58</v>
      </c>
      <c r="J50">
        <v>0</v>
      </c>
      <c r="K50">
        <v>123.48</v>
      </c>
      <c r="L50">
        <v>36.409999999999997</v>
      </c>
      <c r="M50">
        <v>218.45999999999998</v>
      </c>
      <c r="N50">
        <v>30</v>
      </c>
      <c r="O50" t="s">
        <v>19</v>
      </c>
      <c r="P50" t="s">
        <v>51</v>
      </c>
    </row>
    <row r="51" spans="1:16">
      <c r="A51">
        <v>100569</v>
      </c>
      <c r="B51" s="4">
        <v>45488</v>
      </c>
      <c r="C51" t="s">
        <v>908</v>
      </c>
      <c r="D51" t="s">
        <v>53</v>
      </c>
      <c r="E51" t="s">
        <v>30</v>
      </c>
      <c r="F51" t="s">
        <v>1240</v>
      </c>
      <c r="G51" t="s">
        <v>31</v>
      </c>
      <c r="H51">
        <v>5</v>
      </c>
      <c r="I51">
        <v>18.39</v>
      </c>
      <c r="J51">
        <v>0</v>
      </c>
      <c r="K51">
        <v>91.95</v>
      </c>
      <c r="L51">
        <v>27.35</v>
      </c>
      <c r="M51">
        <v>136.75</v>
      </c>
      <c r="N51">
        <v>27</v>
      </c>
      <c r="O51" t="s">
        <v>19</v>
      </c>
      <c r="P51" t="s">
        <v>32</v>
      </c>
    </row>
    <row r="52" spans="1:16">
      <c r="A52">
        <v>100154</v>
      </c>
      <c r="B52" s="4">
        <v>45023</v>
      </c>
      <c r="C52" t="s">
        <v>900</v>
      </c>
      <c r="D52" t="s">
        <v>45</v>
      </c>
      <c r="E52" t="s">
        <v>30</v>
      </c>
      <c r="F52" t="s">
        <v>1241</v>
      </c>
      <c r="G52" t="s">
        <v>31</v>
      </c>
      <c r="H52">
        <v>6</v>
      </c>
      <c r="I52">
        <v>14.38</v>
      </c>
      <c r="J52">
        <v>0</v>
      </c>
      <c r="K52">
        <v>86.28</v>
      </c>
      <c r="L52">
        <v>36.979999999999997</v>
      </c>
      <c r="M52">
        <v>221.88</v>
      </c>
      <c r="N52">
        <v>42</v>
      </c>
      <c r="O52" t="s">
        <v>19</v>
      </c>
      <c r="P52" t="s">
        <v>35</v>
      </c>
    </row>
    <row r="53" spans="1:16">
      <c r="A53">
        <v>101077</v>
      </c>
      <c r="B53" s="4">
        <v>45779</v>
      </c>
      <c r="C53" t="s">
        <v>896</v>
      </c>
      <c r="D53" t="s">
        <v>34</v>
      </c>
      <c r="E53" t="s">
        <v>30</v>
      </c>
      <c r="F53" t="s">
        <v>1239</v>
      </c>
      <c r="G53" t="s">
        <v>31</v>
      </c>
      <c r="H53">
        <v>1</v>
      </c>
      <c r="I53">
        <v>60.97</v>
      </c>
      <c r="J53">
        <v>0</v>
      </c>
      <c r="K53">
        <v>60.97</v>
      </c>
      <c r="L53">
        <v>14.81</v>
      </c>
      <c r="M53">
        <v>14.81</v>
      </c>
      <c r="N53">
        <v>29</v>
      </c>
      <c r="O53" t="s">
        <v>19</v>
      </c>
      <c r="P53" t="s">
        <v>20</v>
      </c>
    </row>
    <row r="54" spans="1:16">
      <c r="A54">
        <v>100817</v>
      </c>
      <c r="B54" s="4">
        <v>45336</v>
      </c>
      <c r="C54" t="s">
        <v>886</v>
      </c>
      <c r="D54" t="s">
        <v>53</v>
      </c>
      <c r="E54" t="s">
        <v>30</v>
      </c>
      <c r="F54" t="s">
        <v>1237</v>
      </c>
      <c r="G54" t="s">
        <v>64</v>
      </c>
      <c r="H54">
        <v>2</v>
      </c>
      <c r="I54">
        <v>22.06</v>
      </c>
      <c r="J54">
        <v>0</v>
      </c>
      <c r="K54">
        <v>44.12</v>
      </c>
      <c r="L54">
        <v>9.18</v>
      </c>
      <c r="M54">
        <v>18.36</v>
      </c>
      <c r="N54">
        <v>25</v>
      </c>
      <c r="O54" t="s">
        <v>19</v>
      </c>
      <c r="P54" t="s">
        <v>46</v>
      </c>
    </row>
    <row r="55" spans="1:16">
      <c r="A55">
        <v>100163</v>
      </c>
      <c r="B55" s="4">
        <v>45583</v>
      </c>
      <c r="C55" t="s">
        <v>105</v>
      </c>
      <c r="D55" t="s">
        <v>53</v>
      </c>
      <c r="E55" t="s">
        <v>30</v>
      </c>
      <c r="F55" t="s">
        <v>1237</v>
      </c>
      <c r="G55" t="s">
        <v>18</v>
      </c>
      <c r="H55">
        <v>1</v>
      </c>
      <c r="I55">
        <v>23.03</v>
      </c>
      <c r="J55">
        <v>0</v>
      </c>
      <c r="K55">
        <v>23.03</v>
      </c>
      <c r="L55">
        <v>8.06</v>
      </c>
      <c r="M55">
        <v>8.06</v>
      </c>
      <c r="N55">
        <v>32</v>
      </c>
      <c r="O55" t="s">
        <v>19</v>
      </c>
      <c r="P55" t="s">
        <v>27</v>
      </c>
    </row>
    <row r="56" spans="1:16">
      <c r="A56">
        <v>100827</v>
      </c>
      <c r="B56" s="4">
        <v>45770</v>
      </c>
      <c r="C56" t="s">
        <v>883</v>
      </c>
      <c r="D56" t="s">
        <v>45</v>
      </c>
      <c r="E56" t="s">
        <v>30</v>
      </c>
      <c r="F56" t="s">
        <v>1241</v>
      </c>
      <c r="G56" t="s">
        <v>31</v>
      </c>
      <c r="H56">
        <v>4</v>
      </c>
      <c r="I56">
        <v>12</v>
      </c>
      <c r="J56">
        <v>10</v>
      </c>
      <c r="K56">
        <v>43.2</v>
      </c>
      <c r="L56">
        <v>13.2</v>
      </c>
      <c r="M56">
        <v>52.8</v>
      </c>
      <c r="N56">
        <v>16</v>
      </c>
      <c r="O56" t="s">
        <v>19</v>
      </c>
      <c r="P56" t="s">
        <v>43</v>
      </c>
    </row>
    <row r="57" spans="1:16">
      <c r="A57">
        <v>100332</v>
      </c>
      <c r="B57" s="4">
        <v>45881</v>
      </c>
      <c r="C57" t="s">
        <v>107</v>
      </c>
      <c r="D57" t="s">
        <v>34</v>
      </c>
      <c r="E57" t="s">
        <v>30</v>
      </c>
      <c r="F57" t="s">
        <v>1238</v>
      </c>
      <c r="G57" t="s">
        <v>31</v>
      </c>
      <c r="H57">
        <v>3</v>
      </c>
      <c r="I57">
        <v>60.91</v>
      </c>
      <c r="J57">
        <v>10</v>
      </c>
      <c r="K57">
        <v>164.46</v>
      </c>
      <c r="L57">
        <v>65.8</v>
      </c>
      <c r="M57">
        <v>197.39999999999998</v>
      </c>
      <c r="N57">
        <v>41</v>
      </c>
      <c r="O57" t="s">
        <v>19</v>
      </c>
      <c r="P57" t="s">
        <v>81</v>
      </c>
    </row>
    <row r="58" spans="1:16">
      <c r="A58">
        <v>100988</v>
      </c>
      <c r="B58" s="4">
        <v>45804</v>
      </c>
      <c r="C58" t="s">
        <v>108</v>
      </c>
      <c r="D58" t="s">
        <v>53</v>
      </c>
      <c r="E58" t="s">
        <v>30</v>
      </c>
      <c r="F58" t="s">
        <v>1241</v>
      </c>
      <c r="G58" t="s">
        <v>48</v>
      </c>
      <c r="H58">
        <v>2</v>
      </c>
      <c r="I58">
        <v>19.41</v>
      </c>
      <c r="J58">
        <v>0</v>
      </c>
      <c r="K58">
        <v>38.82</v>
      </c>
      <c r="L58">
        <v>9.3800000000000008</v>
      </c>
      <c r="M58">
        <v>18.760000000000002</v>
      </c>
      <c r="N58">
        <v>24</v>
      </c>
      <c r="O58" t="s">
        <v>19</v>
      </c>
      <c r="P58" t="s">
        <v>35</v>
      </c>
    </row>
    <row r="59" spans="1:16">
      <c r="A59">
        <v>100824</v>
      </c>
      <c r="B59" s="4">
        <v>45774</v>
      </c>
      <c r="C59" t="s">
        <v>881</v>
      </c>
      <c r="D59" t="s">
        <v>56</v>
      </c>
      <c r="E59" t="s">
        <v>30</v>
      </c>
      <c r="F59" t="s">
        <v>1241</v>
      </c>
      <c r="G59" t="s">
        <v>18</v>
      </c>
      <c r="H59">
        <v>3</v>
      </c>
      <c r="I59">
        <v>47.75</v>
      </c>
      <c r="J59">
        <v>10</v>
      </c>
      <c r="K59">
        <v>128.93</v>
      </c>
      <c r="L59">
        <v>47.16</v>
      </c>
      <c r="M59">
        <v>141.47999999999999</v>
      </c>
      <c r="N59">
        <v>33</v>
      </c>
      <c r="O59" t="s">
        <v>19</v>
      </c>
      <c r="P59" t="s">
        <v>27</v>
      </c>
    </row>
    <row r="60" spans="1:16">
      <c r="A60">
        <v>100684</v>
      </c>
      <c r="B60" s="4">
        <v>45526</v>
      </c>
      <c r="C60" t="s">
        <v>879</v>
      </c>
      <c r="D60" t="s">
        <v>53</v>
      </c>
      <c r="E60" t="s">
        <v>30</v>
      </c>
      <c r="F60" t="s">
        <v>1238</v>
      </c>
      <c r="G60" t="s">
        <v>18</v>
      </c>
      <c r="H60">
        <v>3</v>
      </c>
      <c r="I60">
        <v>19.989999999999998</v>
      </c>
      <c r="J60">
        <v>10</v>
      </c>
      <c r="K60">
        <v>53.97</v>
      </c>
      <c r="L60">
        <v>20.91</v>
      </c>
      <c r="M60">
        <v>62.730000000000004</v>
      </c>
      <c r="N60">
        <v>28</v>
      </c>
      <c r="O60" t="s">
        <v>19</v>
      </c>
      <c r="P60" t="s">
        <v>35</v>
      </c>
    </row>
    <row r="61" spans="1:16">
      <c r="A61">
        <v>100377</v>
      </c>
      <c r="B61" s="4">
        <v>45815</v>
      </c>
      <c r="C61" t="s">
        <v>111</v>
      </c>
      <c r="D61" t="s">
        <v>45</v>
      </c>
      <c r="E61" t="s">
        <v>30</v>
      </c>
      <c r="F61" t="s">
        <v>1239</v>
      </c>
      <c r="G61" t="s">
        <v>18</v>
      </c>
      <c r="H61">
        <v>2</v>
      </c>
      <c r="I61">
        <v>15</v>
      </c>
      <c r="J61">
        <v>0</v>
      </c>
      <c r="K61">
        <v>30</v>
      </c>
      <c r="L61">
        <v>9.56</v>
      </c>
      <c r="M61">
        <v>19.12</v>
      </c>
      <c r="N61">
        <v>24</v>
      </c>
      <c r="O61" t="s">
        <v>19</v>
      </c>
      <c r="P61" t="s">
        <v>46</v>
      </c>
    </row>
    <row r="62" spans="1:16">
      <c r="A62">
        <v>100697</v>
      </c>
      <c r="B62" s="4">
        <v>45171</v>
      </c>
      <c r="C62" t="s">
        <v>864</v>
      </c>
      <c r="D62" t="s">
        <v>45</v>
      </c>
      <c r="E62" t="s">
        <v>30</v>
      </c>
      <c r="F62" t="s">
        <v>1238</v>
      </c>
      <c r="G62" t="s">
        <v>64</v>
      </c>
      <c r="H62">
        <v>2</v>
      </c>
      <c r="I62">
        <v>13.38</v>
      </c>
      <c r="J62">
        <v>10</v>
      </c>
      <c r="K62">
        <v>24.08</v>
      </c>
      <c r="L62">
        <v>6.74</v>
      </c>
      <c r="M62">
        <v>13.48</v>
      </c>
      <c r="N62">
        <v>34</v>
      </c>
      <c r="O62" t="s">
        <v>19</v>
      </c>
      <c r="P62" t="s">
        <v>51</v>
      </c>
    </row>
    <row r="63" spans="1:16">
      <c r="A63">
        <v>100313</v>
      </c>
      <c r="B63" s="4">
        <v>45470</v>
      </c>
      <c r="C63" t="s">
        <v>859</v>
      </c>
      <c r="D63" t="s">
        <v>77</v>
      </c>
      <c r="E63" t="s">
        <v>30</v>
      </c>
      <c r="F63" t="s">
        <v>1237</v>
      </c>
      <c r="G63" t="s">
        <v>18</v>
      </c>
      <c r="H63">
        <v>2</v>
      </c>
      <c r="I63">
        <v>43.15</v>
      </c>
      <c r="J63">
        <v>10</v>
      </c>
      <c r="K63">
        <v>77.67</v>
      </c>
      <c r="L63">
        <v>32.090000000000003</v>
      </c>
      <c r="M63">
        <v>64.180000000000007</v>
      </c>
      <c r="N63">
        <v>50</v>
      </c>
      <c r="O63" t="s">
        <v>19</v>
      </c>
      <c r="P63" t="s">
        <v>35</v>
      </c>
    </row>
    <row r="64" spans="1:16">
      <c r="A64">
        <v>100304</v>
      </c>
      <c r="B64" s="4">
        <v>45900</v>
      </c>
      <c r="C64" t="s">
        <v>856</v>
      </c>
      <c r="D64" t="s">
        <v>53</v>
      </c>
      <c r="E64" t="s">
        <v>30</v>
      </c>
      <c r="F64" t="s">
        <v>1241</v>
      </c>
      <c r="G64" t="s">
        <v>31</v>
      </c>
      <c r="H64">
        <v>3</v>
      </c>
      <c r="I64">
        <v>20.86</v>
      </c>
      <c r="J64">
        <v>5</v>
      </c>
      <c r="K64">
        <v>59.45</v>
      </c>
      <c r="L64">
        <v>19.37</v>
      </c>
      <c r="M64">
        <v>58.11</v>
      </c>
      <c r="N64">
        <v>26</v>
      </c>
      <c r="O64" t="s">
        <v>19</v>
      </c>
      <c r="P64" t="s">
        <v>46</v>
      </c>
    </row>
    <row r="65" spans="1:16">
      <c r="A65">
        <v>100782</v>
      </c>
      <c r="B65" s="4">
        <v>45662</v>
      </c>
      <c r="C65" t="s">
        <v>853</v>
      </c>
      <c r="D65" t="s">
        <v>56</v>
      </c>
      <c r="E65" t="s">
        <v>30</v>
      </c>
      <c r="F65" t="s">
        <v>1239</v>
      </c>
      <c r="G65" t="s">
        <v>31</v>
      </c>
      <c r="H65">
        <v>1</v>
      </c>
      <c r="I65">
        <v>41.95</v>
      </c>
      <c r="J65">
        <v>5</v>
      </c>
      <c r="K65">
        <v>39.85</v>
      </c>
      <c r="L65">
        <v>11.52</v>
      </c>
      <c r="M65">
        <v>11.52</v>
      </c>
      <c r="N65">
        <v>29</v>
      </c>
      <c r="O65" t="s">
        <v>19</v>
      </c>
      <c r="P65" t="s">
        <v>27</v>
      </c>
    </row>
    <row r="66" spans="1:16">
      <c r="A66">
        <v>100052</v>
      </c>
      <c r="B66" s="4">
        <v>44978</v>
      </c>
      <c r="C66" t="s">
        <v>848</v>
      </c>
      <c r="D66" t="s">
        <v>45</v>
      </c>
      <c r="E66" t="s">
        <v>30</v>
      </c>
      <c r="F66" t="s">
        <v>1239</v>
      </c>
      <c r="G66" t="s">
        <v>31</v>
      </c>
      <c r="H66">
        <v>4</v>
      </c>
      <c r="I66">
        <v>15.78</v>
      </c>
      <c r="J66">
        <v>20</v>
      </c>
      <c r="K66">
        <v>50.5</v>
      </c>
      <c r="L66">
        <v>17.11</v>
      </c>
      <c r="M66">
        <v>68.44</v>
      </c>
      <c r="N66">
        <v>35</v>
      </c>
      <c r="O66" t="s">
        <v>19</v>
      </c>
      <c r="P66" t="s">
        <v>43</v>
      </c>
    </row>
    <row r="67" spans="1:16">
      <c r="A67">
        <v>100990</v>
      </c>
      <c r="B67" s="4">
        <v>45644</v>
      </c>
      <c r="C67" t="s">
        <v>847</v>
      </c>
      <c r="D67" t="s">
        <v>45</v>
      </c>
      <c r="E67" t="s">
        <v>30</v>
      </c>
      <c r="F67" t="s">
        <v>1241</v>
      </c>
      <c r="G67" t="s">
        <v>31</v>
      </c>
      <c r="H67">
        <v>2</v>
      </c>
      <c r="I67">
        <v>16.89</v>
      </c>
      <c r="J67">
        <v>5</v>
      </c>
      <c r="K67">
        <v>32.090000000000003</v>
      </c>
      <c r="L67">
        <v>11.62</v>
      </c>
      <c r="M67">
        <v>23.24</v>
      </c>
      <c r="N67">
        <v>40</v>
      </c>
      <c r="O67" t="s">
        <v>19</v>
      </c>
      <c r="P67" t="s">
        <v>81</v>
      </c>
    </row>
    <row r="68" spans="1:16">
      <c r="A68">
        <v>100195</v>
      </c>
      <c r="B68" s="4">
        <v>45837</v>
      </c>
      <c r="C68" t="s">
        <v>843</v>
      </c>
      <c r="D68" t="s">
        <v>45</v>
      </c>
      <c r="E68" t="s">
        <v>30</v>
      </c>
      <c r="F68" t="s">
        <v>1240</v>
      </c>
      <c r="G68" t="s">
        <v>31</v>
      </c>
      <c r="H68">
        <v>3</v>
      </c>
      <c r="I68">
        <v>15.14</v>
      </c>
      <c r="J68">
        <v>5</v>
      </c>
      <c r="K68">
        <v>43.15</v>
      </c>
      <c r="L68">
        <v>17.54</v>
      </c>
      <c r="M68">
        <v>52.62</v>
      </c>
      <c r="N68">
        <v>29</v>
      </c>
      <c r="O68" t="s">
        <v>19</v>
      </c>
      <c r="P68" t="s">
        <v>32</v>
      </c>
    </row>
    <row r="69" spans="1:16">
      <c r="A69">
        <v>100635</v>
      </c>
      <c r="B69" s="4">
        <v>45372</v>
      </c>
      <c r="C69" t="s">
        <v>836</v>
      </c>
      <c r="D69" t="s">
        <v>45</v>
      </c>
      <c r="E69" t="s">
        <v>30</v>
      </c>
      <c r="F69" t="s">
        <v>1241</v>
      </c>
      <c r="G69" t="s">
        <v>18</v>
      </c>
      <c r="H69">
        <v>1</v>
      </c>
      <c r="I69">
        <v>15.38</v>
      </c>
      <c r="J69">
        <v>20</v>
      </c>
      <c r="K69">
        <v>12.3</v>
      </c>
      <c r="L69">
        <v>6.01</v>
      </c>
      <c r="M69">
        <v>6.01</v>
      </c>
      <c r="N69">
        <v>26</v>
      </c>
      <c r="O69" t="s">
        <v>19</v>
      </c>
      <c r="P69" t="s">
        <v>43</v>
      </c>
    </row>
    <row r="70" spans="1:16">
      <c r="A70">
        <v>100126</v>
      </c>
      <c r="B70" s="4">
        <v>44989</v>
      </c>
      <c r="C70" t="s">
        <v>823</v>
      </c>
      <c r="D70" t="s">
        <v>53</v>
      </c>
      <c r="E70" t="s">
        <v>30</v>
      </c>
      <c r="F70" t="s">
        <v>1238</v>
      </c>
      <c r="G70" t="s">
        <v>18</v>
      </c>
      <c r="H70">
        <v>4</v>
      </c>
      <c r="I70">
        <v>20.75</v>
      </c>
      <c r="J70">
        <v>0</v>
      </c>
      <c r="K70">
        <v>83</v>
      </c>
      <c r="L70">
        <v>28.01</v>
      </c>
      <c r="M70">
        <v>112.04</v>
      </c>
      <c r="N70">
        <v>39</v>
      </c>
      <c r="O70" t="s">
        <v>19</v>
      </c>
      <c r="P70" t="s">
        <v>46</v>
      </c>
    </row>
    <row r="71" spans="1:16">
      <c r="A71">
        <v>101006</v>
      </c>
      <c r="B71" s="4">
        <v>45336</v>
      </c>
      <c r="C71" t="s">
        <v>821</v>
      </c>
      <c r="D71" t="s">
        <v>29</v>
      </c>
      <c r="E71" t="s">
        <v>30</v>
      </c>
      <c r="F71" t="s">
        <v>1241</v>
      </c>
      <c r="G71" t="s">
        <v>18</v>
      </c>
      <c r="H71">
        <v>5</v>
      </c>
      <c r="I71">
        <v>18.62</v>
      </c>
      <c r="J71">
        <v>10</v>
      </c>
      <c r="K71">
        <v>83.79</v>
      </c>
      <c r="L71">
        <v>31.99</v>
      </c>
      <c r="M71">
        <v>159.94999999999999</v>
      </c>
      <c r="N71">
        <v>25</v>
      </c>
      <c r="O71" t="s">
        <v>19</v>
      </c>
      <c r="P71" t="s">
        <v>51</v>
      </c>
    </row>
    <row r="72" spans="1:16">
      <c r="A72">
        <v>100785</v>
      </c>
      <c r="B72" s="4">
        <v>45523</v>
      </c>
      <c r="C72" t="s">
        <v>820</v>
      </c>
      <c r="D72" t="s">
        <v>29</v>
      </c>
      <c r="E72" t="s">
        <v>30</v>
      </c>
      <c r="F72" t="s">
        <v>1238</v>
      </c>
      <c r="G72" t="s">
        <v>48</v>
      </c>
      <c r="H72">
        <v>4</v>
      </c>
      <c r="I72">
        <v>18.260000000000002</v>
      </c>
      <c r="J72">
        <v>10</v>
      </c>
      <c r="K72">
        <v>65.739999999999995</v>
      </c>
      <c r="L72">
        <v>14.12</v>
      </c>
      <c r="M72">
        <v>56.48</v>
      </c>
      <c r="N72">
        <v>34</v>
      </c>
      <c r="O72" t="s">
        <v>19</v>
      </c>
      <c r="P72" t="s">
        <v>32</v>
      </c>
    </row>
    <row r="73" spans="1:16">
      <c r="A73">
        <v>100117</v>
      </c>
      <c r="B73" s="4">
        <v>45167</v>
      </c>
      <c r="C73" t="s">
        <v>815</v>
      </c>
      <c r="D73" t="s">
        <v>45</v>
      </c>
      <c r="E73" t="s">
        <v>30</v>
      </c>
      <c r="F73" t="s">
        <v>1238</v>
      </c>
      <c r="G73" t="s">
        <v>31</v>
      </c>
      <c r="H73">
        <v>3</v>
      </c>
      <c r="I73">
        <v>16.8</v>
      </c>
      <c r="J73">
        <v>10</v>
      </c>
      <c r="K73">
        <v>45.36</v>
      </c>
      <c r="L73">
        <v>15.54</v>
      </c>
      <c r="M73">
        <v>46.62</v>
      </c>
      <c r="N73">
        <v>51</v>
      </c>
      <c r="O73" t="s">
        <v>19</v>
      </c>
      <c r="P73" t="s">
        <v>32</v>
      </c>
    </row>
    <row r="74" spans="1:16">
      <c r="A74">
        <v>100236</v>
      </c>
      <c r="B74" s="4">
        <v>45109</v>
      </c>
      <c r="C74" t="s">
        <v>811</v>
      </c>
      <c r="D74" t="s">
        <v>45</v>
      </c>
      <c r="E74" t="s">
        <v>30</v>
      </c>
      <c r="F74" t="s">
        <v>1241</v>
      </c>
      <c r="G74" t="s">
        <v>64</v>
      </c>
      <c r="H74">
        <v>1</v>
      </c>
      <c r="I74">
        <v>13.05</v>
      </c>
      <c r="J74">
        <v>5</v>
      </c>
      <c r="K74">
        <v>12.4</v>
      </c>
      <c r="L74">
        <v>4.58</v>
      </c>
      <c r="M74">
        <v>4.58</v>
      </c>
      <c r="N74">
        <v>25</v>
      </c>
      <c r="O74" t="s">
        <v>19</v>
      </c>
      <c r="P74" t="s">
        <v>81</v>
      </c>
    </row>
    <row r="75" spans="1:16">
      <c r="A75">
        <v>100703</v>
      </c>
      <c r="B75" s="4">
        <v>45348</v>
      </c>
      <c r="C75" t="s">
        <v>809</v>
      </c>
      <c r="D75" t="s">
        <v>77</v>
      </c>
      <c r="E75" t="s">
        <v>30</v>
      </c>
      <c r="F75" t="s">
        <v>1237</v>
      </c>
      <c r="G75" t="s">
        <v>18</v>
      </c>
      <c r="H75">
        <v>4</v>
      </c>
      <c r="I75">
        <v>38.35</v>
      </c>
      <c r="J75">
        <v>5</v>
      </c>
      <c r="K75">
        <v>145.72999999999999</v>
      </c>
      <c r="L75">
        <v>37.24</v>
      </c>
      <c r="M75">
        <v>148.96</v>
      </c>
      <c r="N75">
        <v>23</v>
      </c>
      <c r="O75" t="s">
        <v>19</v>
      </c>
      <c r="P75" t="s">
        <v>46</v>
      </c>
    </row>
    <row r="76" spans="1:16">
      <c r="A76">
        <v>100153</v>
      </c>
      <c r="B76" s="4">
        <v>45323</v>
      </c>
      <c r="C76" t="s">
        <v>804</v>
      </c>
      <c r="D76" t="s">
        <v>34</v>
      </c>
      <c r="E76" t="s">
        <v>30</v>
      </c>
      <c r="F76" t="s">
        <v>1237</v>
      </c>
      <c r="G76" t="s">
        <v>18</v>
      </c>
      <c r="H76">
        <v>5</v>
      </c>
      <c r="I76">
        <v>50.74</v>
      </c>
      <c r="J76">
        <v>0</v>
      </c>
      <c r="K76">
        <v>253.7</v>
      </c>
      <c r="L76">
        <v>85.18</v>
      </c>
      <c r="M76">
        <v>425.90000000000003</v>
      </c>
      <c r="N76">
        <v>38</v>
      </c>
      <c r="O76" t="s">
        <v>19</v>
      </c>
      <c r="P76" t="s">
        <v>43</v>
      </c>
    </row>
    <row r="77" spans="1:16">
      <c r="A77">
        <v>100434</v>
      </c>
      <c r="B77" s="4">
        <v>45068</v>
      </c>
      <c r="C77" t="s">
        <v>802</v>
      </c>
      <c r="D77" t="s">
        <v>34</v>
      </c>
      <c r="E77" t="s">
        <v>30</v>
      </c>
      <c r="F77" t="s">
        <v>1239</v>
      </c>
      <c r="G77" t="s">
        <v>31</v>
      </c>
      <c r="H77">
        <v>2</v>
      </c>
      <c r="I77">
        <v>65.05</v>
      </c>
      <c r="J77">
        <v>0</v>
      </c>
      <c r="K77">
        <v>130.1</v>
      </c>
      <c r="L77">
        <v>33.840000000000003</v>
      </c>
      <c r="M77">
        <v>67.680000000000007</v>
      </c>
      <c r="N77">
        <v>45</v>
      </c>
      <c r="O77" t="s">
        <v>19</v>
      </c>
      <c r="P77" t="s">
        <v>43</v>
      </c>
    </row>
    <row r="78" spans="1:16">
      <c r="A78">
        <v>101093</v>
      </c>
      <c r="B78" s="4">
        <v>45302</v>
      </c>
      <c r="C78" t="s">
        <v>784</v>
      </c>
      <c r="D78" t="s">
        <v>56</v>
      </c>
      <c r="E78" t="s">
        <v>30</v>
      </c>
      <c r="F78" t="s">
        <v>1240</v>
      </c>
      <c r="G78" t="s">
        <v>18</v>
      </c>
      <c r="H78">
        <v>1</v>
      </c>
      <c r="I78">
        <v>47.95</v>
      </c>
      <c r="J78">
        <v>0</v>
      </c>
      <c r="K78">
        <v>47.95</v>
      </c>
      <c r="L78">
        <v>18.079999999999998</v>
      </c>
      <c r="M78">
        <v>18.079999999999998</v>
      </c>
      <c r="N78">
        <v>44</v>
      </c>
      <c r="O78" t="s">
        <v>19</v>
      </c>
      <c r="P78" t="s">
        <v>46</v>
      </c>
    </row>
    <row r="79" spans="1:16">
      <c r="A79">
        <v>100521</v>
      </c>
      <c r="B79" s="4">
        <v>45061</v>
      </c>
      <c r="C79" t="s">
        <v>780</v>
      </c>
      <c r="D79" t="s">
        <v>56</v>
      </c>
      <c r="E79" t="s">
        <v>30</v>
      </c>
      <c r="F79" t="s">
        <v>1241</v>
      </c>
      <c r="G79" t="s">
        <v>31</v>
      </c>
      <c r="H79">
        <v>3</v>
      </c>
      <c r="I79">
        <v>42.91</v>
      </c>
      <c r="J79">
        <v>0</v>
      </c>
      <c r="K79">
        <v>128.72999999999999</v>
      </c>
      <c r="L79">
        <v>47.84</v>
      </c>
      <c r="M79">
        <v>143.52000000000001</v>
      </c>
      <c r="N79">
        <v>25</v>
      </c>
      <c r="O79" t="s">
        <v>19</v>
      </c>
      <c r="P79" t="s">
        <v>43</v>
      </c>
    </row>
    <row r="80" spans="1:16">
      <c r="A80">
        <v>100942</v>
      </c>
      <c r="B80" s="4">
        <v>45442</v>
      </c>
      <c r="C80" t="s">
        <v>131</v>
      </c>
      <c r="D80" t="s">
        <v>77</v>
      </c>
      <c r="E80" t="s">
        <v>30</v>
      </c>
      <c r="F80" t="s">
        <v>1241</v>
      </c>
      <c r="G80" t="s">
        <v>18</v>
      </c>
      <c r="H80">
        <v>4</v>
      </c>
      <c r="I80">
        <v>36.04</v>
      </c>
      <c r="J80">
        <v>0</v>
      </c>
      <c r="K80">
        <v>144.16</v>
      </c>
      <c r="L80">
        <v>60.23</v>
      </c>
      <c r="M80">
        <v>240.92</v>
      </c>
      <c r="N80">
        <v>35</v>
      </c>
      <c r="O80" t="s">
        <v>19</v>
      </c>
      <c r="P80" t="s">
        <v>27</v>
      </c>
    </row>
    <row r="81" spans="1:16">
      <c r="A81">
        <v>100689</v>
      </c>
      <c r="B81" s="4">
        <v>45371</v>
      </c>
      <c r="C81" t="s">
        <v>764</v>
      </c>
      <c r="D81" t="s">
        <v>77</v>
      </c>
      <c r="E81" t="s">
        <v>30</v>
      </c>
      <c r="F81" t="s">
        <v>1239</v>
      </c>
      <c r="G81" t="s">
        <v>64</v>
      </c>
      <c r="H81">
        <v>1</v>
      </c>
      <c r="I81">
        <v>39.29</v>
      </c>
      <c r="J81">
        <v>20</v>
      </c>
      <c r="K81">
        <v>31.43</v>
      </c>
      <c r="L81">
        <v>10.53</v>
      </c>
      <c r="M81">
        <v>10.53</v>
      </c>
      <c r="N81">
        <v>31</v>
      </c>
      <c r="O81" t="s">
        <v>19</v>
      </c>
      <c r="P81" t="s">
        <v>81</v>
      </c>
    </row>
    <row r="82" spans="1:16">
      <c r="A82">
        <v>100875</v>
      </c>
      <c r="B82" s="4">
        <v>45101</v>
      </c>
      <c r="C82" t="s">
        <v>746</v>
      </c>
      <c r="D82" t="s">
        <v>45</v>
      </c>
      <c r="E82" t="s">
        <v>30</v>
      </c>
      <c r="F82" t="s">
        <v>1237</v>
      </c>
      <c r="G82" t="s">
        <v>31</v>
      </c>
      <c r="H82">
        <v>1</v>
      </c>
      <c r="I82">
        <v>15.3</v>
      </c>
      <c r="J82">
        <v>20</v>
      </c>
      <c r="K82">
        <v>12.24</v>
      </c>
      <c r="L82">
        <v>3.03</v>
      </c>
      <c r="M82">
        <v>3.03</v>
      </c>
      <c r="N82">
        <v>23</v>
      </c>
      <c r="O82" t="s">
        <v>19</v>
      </c>
      <c r="P82" t="s">
        <v>35</v>
      </c>
    </row>
    <row r="83" spans="1:16">
      <c r="A83">
        <v>100500</v>
      </c>
      <c r="B83" s="4">
        <v>45004</v>
      </c>
      <c r="C83" t="s">
        <v>737</v>
      </c>
      <c r="D83" t="s">
        <v>45</v>
      </c>
      <c r="E83" t="s">
        <v>30</v>
      </c>
      <c r="F83" t="s">
        <v>1238</v>
      </c>
      <c r="G83" t="s">
        <v>18</v>
      </c>
      <c r="H83">
        <v>2</v>
      </c>
      <c r="I83">
        <v>14.45</v>
      </c>
      <c r="J83">
        <v>0</v>
      </c>
      <c r="K83">
        <v>28.9</v>
      </c>
      <c r="L83">
        <v>9.4</v>
      </c>
      <c r="M83">
        <v>18.8</v>
      </c>
      <c r="N83">
        <v>27</v>
      </c>
      <c r="O83" t="s">
        <v>19</v>
      </c>
      <c r="P83" t="s">
        <v>20</v>
      </c>
    </row>
    <row r="84" spans="1:16">
      <c r="A84">
        <v>100074</v>
      </c>
      <c r="B84" s="4">
        <v>45049</v>
      </c>
      <c r="C84" t="s">
        <v>734</v>
      </c>
      <c r="D84" t="s">
        <v>45</v>
      </c>
      <c r="E84" t="s">
        <v>30</v>
      </c>
      <c r="F84" t="s">
        <v>1237</v>
      </c>
      <c r="G84" t="s">
        <v>18</v>
      </c>
      <c r="H84">
        <v>2</v>
      </c>
      <c r="I84">
        <v>16.14</v>
      </c>
      <c r="J84">
        <v>0</v>
      </c>
      <c r="K84">
        <v>32.28</v>
      </c>
      <c r="L84">
        <v>9.35</v>
      </c>
      <c r="M84">
        <v>18.7</v>
      </c>
      <c r="N84">
        <v>19</v>
      </c>
      <c r="O84" t="s">
        <v>19</v>
      </c>
      <c r="P84" t="s">
        <v>20</v>
      </c>
    </row>
    <row r="85" spans="1:16">
      <c r="A85">
        <v>100675</v>
      </c>
      <c r="B85" s="4">
        <v>45827</v>
      </c>
      <c r="C85" t="s">
        <v>729</v>
      </c>
      <c r="D85" t="s">
        <v>53</v>
      </c>
      <c r="E85" t="s">
        <v>30</v>
      </c>
      <c r="F85" t="s">
        <v>1241</v>
      </c>
      <c r="G85" t="s">
        <v>64</v>
      </c>
      <c r="H85">
        <v>4</v>
      </c>
      <c r="I85">
        <v>22.33</v>
      </c>
      <c r="J85">
        <v>10</v>
      </c>
      <c r="K85">
        <v>80.39</v>
      </c>
      <c r="L85">
        <v>25.99</v>
      </c>
      <c r="M85">
        <v>103.96</v>
      </c>
      <c r="N85">
        <v>33</v>
      </c>
      <c r="O85" t="s">
        <v>19</v>
      </c>
      <c r="P85" t="s">
        <v>20</v>
      </c>
    </row>
    <row r="86" spans="1:16">
      <c r="A86">
        <v>100899</v>
      </c>
      <c r="B86" s="4">
        <v>45239</v>
      </c>
      <c r="C86" t="s">
        <v>726</v>
      </c>
      <c r="D86" t="s">
        <v>29</v>
      </c>
      <c r="E86" t="s">
        <v>30</v>
      </c>
      <c r="F86" t="s">
        <v>1237</v>
      </c>
      <c r="G86" t="s">
        <v>31</v>
      </c>
      <c r="H86">
        <v>3</v>
      </c>
      <c r="I86">
        <v>17.399999999999999</v>
      </c>
      <c r="J86">
        <v>20</v>
      </c>
      <c r="K86">
        <v>41.76</v>
      </c>
      <c r="L86">
        <v>12.74</v>
      </c>
      <c r="M86">
        <v>38.22</v>
      </c>
      <c r="N86">
        <v>33</v>
      </c>
      <c r="O86" t="s">
        <v>19</v>
      </c>
      <c r="P86" t="s">
        <v>32</v>
      </c>
    </row>
    <row r="87" spans="1:16">
      <c r="A87">
        <v>101018</v>
      </c>
      <c r="B87" s="4">
        <v>45418</v>
      </c>
      <c r="C87" t="s">
        <v>138</v>
      </c>
      <c r="D87" t="s">
        <v>53</v>
      </c>
      <c r="E87" t="s">
        <v>30</v>
      </c>
      <c r="F87" t="s">
        <v>1240</v>
      </c>
      <c r="G87" t="s">
        <v>48</v>
      </c>
      <c r="H87">
        <v>4</v>
      </c>
      <c r="I87">
        <v>22.74</v>
      </c>
      <c r="J87">
        <v>0</v>
      </c>
      <c r="K87">
        <v>90.96</v>
      </c>
      <c r="L87">
        <v>32.31</v>
      </c>
      <c r="M87">
        <v>129.24</v>
      </c>
      <c r="N87">
        <v>24</v>
      </c>
      <c r="O87" t="s">
        <v>19</v>
      </c>
      <c r="P87" t="s">
        <v>32</v>
      </c>
    </row>
    <row r="88" spans="1:16">
      <c r="A88">
        <v>100547</v>
      </c>
      <c r="B88" s="4">
        <v>45598</v>
      </c>
      <c r="C88" t="s">
        <v>724</v>
      </c>
      <c r="D88" t="s">
        <v>53</v>
      </c>
      <c r="E88" t="s">
        <v>30</v>
      </c>
      <c r="F88" t="s">
        <v>1239</v>
      </c>
      <c r="G88" t="s">
        <v>31</v>
      </c>
      <c r="H88">
        <v>2</v>
      </c>
      <c r="I88">
        <v>20.27</v>
      </c>
      <c r="J88">
        <v>0</v>
      </c>
      <c r="K88">
        <v>40.54</v>
      </c>
      <c r="L88">
        <v>16.190000000000001</v>
      </c>
      <c r="M88">
        <v>32.380000000000003</v>
      </c>
      <c r="N88">
        <v>38</v>
      </c>
      <c r="O88" t="s">
        <v>19</v>
      </c>
      <c r="P88" t="s">
        <v>43</v>
      </c>
    </row>
    <row r="89" spans="1:16">
      <c r="A89">
        <v>100886</v>
      </c>
      <c r="B89" s="4">
        <v>45402</v>
      </c>
      <c r="C89" t="s">
        <v>719</v>
      </c>
      <c r="D89" t="s">
        <v>34</v>
      </c>
      <c r="E89" t="s">
        <v>30</v>
      </c>
      <c r="F89" t="s">
        <v>1237</v>
      </c>
      <c r="G89" t="s">
        <v>18</v>
      </c>
      <c r="H89">
        <v>6</v>
      </c>
      <c r="I89">
        <v>53.45</v>
      </c>
      <c r="J89">
        <v>0</v>
      </c>
      <c r="K89">
        <v>320.7</v>
      </c>
      <c r="L89">
        <v>121.58</v>
      </c>
      <c r="M89">
        <v>729.48</v>
      </c>
      <c r="N89">
        <v>31</v>
      </c>
      <c r="O89" t="s">
        <v>19</v>
      </c>
      <c r="P89" t="s">
        <v>81</v>
      </c>
    </row>
    <row r="90" spans="1:16">
      <c r="A90">
        <v>100595</v>
      </c>
      <c r="B90" s="4">
        <v>45149</v>
      </c>
      <c r="C90" t="s">
        <v>712</v>
      </c>
      <c r="D90" t="s">
        <v>77</v>
      </c>
      <c r="E90" t="s">
        <v>30</v>
      </c>
      <c r="F90" t="s">
        <v>1238</v>
      </c>
      <c r="G90" t="s">
        <v>18</v>
      </c>
      <c r="H90">
        <v>4</v>
      </c>
      <c r="I90">
        <v>41.65</v>
      </c>
      <c r="J90">
        <v>0</v>
      </c>
      <c r="K90">
        <v>166.6</v>
      </c>
      <c r="L90">
        <v>45.88</v>
      </c>
      <c r="M90">
        <v>183.52</v>
      </c>
      <c r="N90">
        <v>40</v>
      </c>
      <c r="O90" t="s">
        <v>19</v>
      </c>
      <c r="P90" t="s">
        <v>81</v>
      </c>
    </row>
    <row r="91" spans="1:16">
      <c r="A91">
        <v>100814</v>
      </c>
      <c r="B91" s="4">
        <v>45715</v>
      </c>
      <c r="C91" t="s">
        <v>711</v>
      </c>
      <c r="D91" t="s">
        <v>29</v>
      </c>
      <c r="E91" t="s">
        <v>30</v>
      </c>
      <c r="F91" t="s">
        <v>1238</v>
      </c>
      <c r="G91" t="s">
        <v>18</v>
      </c>
      <c r="H91">
        <v>3</v>
      </c>
      <c r="I91">
        <v>16.649999999999999</v>
      </c>
      <c r="J91">
        <v>10</v>
      </c>
      <c r="K91">
        <v>44.95</v>
      </c>
      <c r="L91">
        <v>13.07</v>
      </c>
      <c r="M91">
        <v>39.21</v>
      </c>
      <c r="N91">
        <v>21</v>
      </c>
      <c r="O91" t="s">
        <v>19</v>
      </c>
      <c r="P91" t="s">
        <v>46</v>
      </c>
    </row>
    <row r="92" spans="1:16">
      <c r="A92">
        <v>100108</v>
      </c>
      <c r="B92" s="4">
        <v>44935</v>
      </c>
      <c r="C92" t="s">
        <v>684</v>
      </c>
      <c r="D92" t="s">
        <v>77</v>
      </c>
      <c r="E92" t="s">
        <v>30</v>
      </c>
      <c r="F92" t="s">
        <v>1237</v>
      </c>
      <c r="G92" t="s">
        <v>64</v>
      </c>
      <c r="H92">
        <v>3</v>
      </c>
      <c r="I92">
        <v>39.619999999999997</v>
      </c>
      <c r="J92">
        <v>0</v>
      </c>
      <c r="K92">
        <v>118.86</v>
      </c>
      <c r="L92">
        <v>40.17</v>
      </c>
      <c r="M92">
        <v>120.51</v>
      </c>
      <c r="N92">
        <v>33</v>
      </c>
      <c r="O92" t="s">
        <v>19</v>
      </c>
      <c r="P92" t="s">
        <v>46</v>
      </c>
    </row>
    <row r="93" spans="1:16">
      <c r="A93">
        <v>100132</v>
      </c>
      <c r="B93" s="4">
        <v>45289</v>
      </c>
      <c r="C93" t="s">
        <v>678</v>
      </c>
      <c r="D93" t="s">
        <v>34</v>
      </c>
      <c r="E93" t="s">
        <v>30</v>
      </c>
      <c r="F93" t="s">
        <v>1237</v>
      </c>
      <c r="G93" t="s">
        <v>64</v>
      </c>
      <c r="H93">
        <v>2</v>
      </c>
      <c r="I93">
        <v>56.85</v>
      </c>
      <c r="J93">
        <v>0</v>
      </c>
      <c r="K93">
        <v>113.7</v>
      </c>
      <c r="L93">
        <v>30.06</v>
      </c>
      <c r="M93">
        <v>60.12</v>
      </c>
      <c r="N93">
        <v>16</v>
      </c>
      <c r="O93" t="s">
        <v>19</v>
      </c>
      <c r="P93" t="s">
        <v>43</v>
      </c>
    </row>
    <row r="94" spans="1:16">
      <c r="A94">
        <v>100491</v>
      </c>
      <c r="B94" s="4">
        <v>45582</v>
      </c>
      <c r="C94" t="s">
        <v>671</v>
      </c>
      <c r="D94" t="s">
        <v>53</v>
      </c>
      <c r="E94" t="s">
        <v>30</v>
      </c>
      <c r="F94" t="s">
        <v>1241</v>
      </c>
      <c r="G94" t="s">
        <v>31</v>
      </c>
      <c r="H94">
        <v>5</v>
      </c>
      <c r="I94">
        <v>24.56</v>
      </c>
      <c r="J94">
        <v>5</v>
      </c>
      <c r="K94">
        <v>116.66</v>
      </c>
      <c r="L94">
        <v>47.27</v>
      </c>
      <c r="M94">
        <v>236.35000000000002</v>
      </c>
      <c r="N94">
        <v>42</v>
      </c>
      <c r="O94" t="s">
        <v>19</v>
      </c>
      <c r="P94" t="s">
        <v>20</v>
      </c>
    </row>
    <row r="95" spans="1:16">
      <c r="A95">
        <v>100381</v>
      </c>
      <c r="B95" s="4">
        <v>45202</v>
      </c>
      <c r="C95" t="s">
        <v>146</v>
      </c>
      <c r="D95" t="s">
        <v>34</v>
      </c>
      <c r="E95" t="s">
        <v>30</v>
      </c>
      <c r="F95" t="s">
        <v>1241</v>
      </c>
      <c r="G95" t="s">
        <v>18</v>
      </c>
      <c r="H95">
        <v>4</v>
      </c>
      <c r="I95">
        <v>64.819999999999993</v>
      </c>
      <c r="J95">
        <v>0</v>
      </c>
      <c r="K95">
        <v>259.27999999999997</v>
      </c>
      <c r="L95">
        <v>65.5</v>
      </c>
      <c r="M95">
        <v>262</v>
      </c>
      <c r="N95">
        <v>36</v>
      </c>
      <c r="O95" t="s">
        <v>19</v>
      </c>
      <c r="P95" t="s">
        <v>32</v>
      </c>
    </row>
    <row r="96" spans="1:16">
      <c r="A96">
        <v>100338</v>
      </c>
      <c r="B96" s="4">
        <v>45387</v>
      </c>
      <c r="C96" t="s">
        <v>658</v>
      </c>
      <c r="D96" t="s">
        <v>29</v>
      </c>
      <c r="E96" t="s">
        <v>30</v>
      </c>
      <c r="F96" t="s">
        <v>1241</v>
      </c>
      <c r="G96" t="s">
        <v>18</v>
      </c>
      <c r="H96">
        <v>1</v>
      </c>
      <c r="I96">
        <v>18.12</v>
      </c>
      <c r="J96">
        <v>5</v>
      </c>
      <c r="K96">
        <v>17.21</v>
      </c>
      <c r="L96">
        <v>3.92</v>
      </c>
      <c r="M96">
        <v>3.92</v>
      </c>
      <c r="N96">
        <v>38</v>
      </c>
      <c r="O96" t="s">
        <v>19</v>
      </c>
      <c r="P96" t="s">
        <v>46</v>
      </c>
    </row>
    <row r="97" spans="1:16">
      <c r="A97">
        <v>100999</v>
      </c>
      <c r="B97" s="4">
        <v>44992</v>
      </c>
      <c r="C97" t="s">
        <v>646</v>
      </c>
      <c r="D97" t="s">
        <v>56</v>
      </c>
      <c r="E97" t="s">
        <v>30</v>
      </c>
      <c r="F97" t="s">
        <v>1238</v>
      </c>
      <c r="G97" t="s">
        <v>48</v>
      </c>
      <c r="H97">
        <v>1</v>
      </c>
      <c r="I97">
        <v>47.77</v>
      </c>
      <c r="J97">
        <v>0</v>
      </c>
      <c r="K97">
        <v>47.77</v>
      </c>
      <c r="L97">
        <v>16.89</v>
      </c>
      <c r="M97">
        <v>16.89</v>
      </c>
      <c r="N97">
        <v>37</v>
      </c>
      <c r="O97" t="s">
        <v>19</v>
      </c>
      <c r="P97" t="s">
        <v>51</v>
      </c>
    </row>
    <row r="98" spans="1:16">
      <c r="A98">
        <v>100930</v>
      </c>
      <c r="B98" s="4">
        <v>45423</v>
      </c>
      <c r="C98" t="s">
        <v>640</v>
      </c>
      <c r="D98" t="s">
        <v>29</v>
      </c>
      <c r="E98" t="s">
        <v>30</v>
      </c>
      <c r="F98" t="s">
        <v>1238</v>
      </c>
      <c r="G98" t="s">
        <v>18</v>
      </c>
      <c r="H98">
        <v>3</v>
      </c>
      <c r="I98">
        <v>19.149999999999999</v>
      </c>
      <c r="J98">
        <v>10</v>
      </c>
      <c r="K98">
        <v>51.7</v>
      </c>
      <c r="L98">
        <v>15.64</v>
      </c>
      <c r="M98">
        <v>46.92</v>
      </c>
      <c r="N98">
        <v>22</v>
      </c>
      <c r="O98" t="s">
        <v>19</v>
      </c>
      <c r="P98" t="s">
        <v>35</v>
      </c>
    </row>
    <row r="99" spans="1:16">
      <c r="A99">
        <v>100813</v>
      </c>
      <c r="B99" s="4">
        <v>45141</v>
      </c>
      <c r="C99" t="s">
        <v>607</v>
      </c>
      <c r="D99" t="s">
        <v>53</v>
      </c>
      <c r="E99" t="s">
        <v>30</v>
      </c>
      <c r="F99" t="s">
        <v>1237</v>
      </c>
      <c r="G99" t="s">
        <v>18</v>
      </c>
      <c r="H99">
        <v>5</v>
      </c>
      <c r="I99">
        <v>18.829999999999998</v>
      </c>
      <c r="J99">
        <v>0</v>
      </c>
      <c r="K99">
        <v>94.15</v>
      </c>
      <c r="L99">
        <v>30.76</v>
      </c>
      <c r="M99">
        <v>153.80000000000001</v>
      </c>
      <c r="N99">
        <v>17</v>
      </c>
      <c r="O99" t="s">
        <v>19</v>
      </c>
      <c r="P99" t="s">
        <v>51</v>
      </c>
    </row>
    <row r="100" spans="1:16">
      <c r="A100">
        <v>101187</v>
      </c>
      <c r="B100" s="4">
        <v>45909</v>
      </c>
      <c r="C100" t="s">
        <v>604</v>
      </c>
      <c r="D100" t="s">
        <v>77</v>
      </c>
      <c r="E100" t="s">
        <v>30</v>
      </c>
      <c r="F100" t="s">
        <v>1237</v>
      </c>
      <c r="G100" t="s">
        <v>18</v>
      </c>
      <c r="H100">
        <v>3</v>
      </c>
      <c r="I100">
        <v>35.479999999999997</v>
      </c>
      <c r="J100">
        <v>5</v>
      </c>
      <c r="K100">
        <v>101.12</v>
      </c>
      <c r="L100">
        <v>29.56</v>
      </c>
      <c r="M100">
        <v>88.679999999999993</v>
      </c>
      <c r="N100">
        <v>38</v>
      </c>
      <c r="O100" t="s">
        <v>19</v>
      </c>
      <c r="P100" t="s">
        <v>27</v>
      </c>
    </row>
    <row r="101" spans="1:16">
      <c r="A101">
        <v>100573</v>
      </c>
      <c r="B101" s="4">
        <v>45439</v>
      </c>
      <c r="C101" t="s">
        <v>595</v>
      </c>
      <c r="D101" t="s">
        <v>29</v>
      </c>
      <c r="E101" t="s">
        <v>30</v>
      </c>
      <c r="F101" t="s">
        <v>1237</v>
      </c>
      <c r="G101" t="s">
        <v>18</v>
      </c>
      <c r="H101">
        <v>4</v>
      </c>
      <c r="I101">
        <v>19</v>
      </c>
      <c r="J101">
        <v>0</v>
      </c>
      <c r="K101">
        <v>76</v>
      </c>
      <c r="L101">
        <v>21.18</v>
      </c>
      <c r="M101">
        <v>84.72</v>
      </c>
      <c r="N101">
        <v>44</v>
      </c>
      <c r="O101" t="s">
        <v>19</v>
      </c>
      <c r="P101" t="s">
        <v>20</v>
      </c>
    </row>
    <row r="102" spans="1:16">
      <c r="A102">
        <v>100007</v>
      </c>
      <c r="B102" s="4">
        <v>45094</v>
      </c>
      <c r="C102" t="s">
        <v>594</v>
      </c>
      <c r="D102" t="s">
        <v>29</v>
      </c>
      <c r="E102" t="s">
        <v>30</v>
      </c>
      <c r="F102" t="s">
        <v>1240</v>
      </c>
      <c r="G102" t="s">
        <v>31</v>
      </c>
      <c r="H102">
        <v>4</v>
      </c>
      <c r="I102">
        <v>17.989999999999998</v>
      </c>
      <c r="J102">
        <v>5</v>
      </c>
      <c r="K102">
        <v>68.36</v>
      </c>
      <c r="L102">
        <v>35.85</v>
      </c>
      <c r="M102">
        <v>143.4</v>
      </c>
      <c r="N102">
        <v>39</v>
      </c>
      <c r="O102" t="s">
        <v>19</v>
      </c>
      <c r="P102" t="s">
        <v>43</v>
      </c>
    </row>
    <row r="103" spans="1:16">
      <c r="A103">
        <v>100250</v>
      </c>
      <c r="B103" s="4">
        <v>45295</v>
      </c>
      <c r="C103" t="s">
        <v>576</v>
      </c>
      <c r="D103" t="s">
        <v>56</v>
      </c>
      <c r="E103" t="s">
        <v>30</v>
      </c>
      <c r="F103" t="s">
        <v>1238</v>
      </c>
      <c r="G103" t="s">
        <v>48</v>
      </c>
      <c r="H103">
        <v>3</v>
      </c>
      <c r="I103">
        <v>44.75</v>
      </c>
      <c r="J103">
        <v>0</v>
      </c>
      <c r="K103">
        <v>134.25</v>
      </c>
      <c r="L103">
        <v>48.87</v>
      </c>
      <c r="M103">
        <v>146.60999999999999</v>
      </c>
      <c r="N103">
        <v>32</v>
      </c>
      <c r="O103" t="s">
        <v>19</v>
      </c>
      <c r="P103" t="s">
        <v>43</v>
      </c>
    </row>
    <row r="104" spans="1:16">
      <c r="A104">
        <v>100735</v>
      </c>
      <c r="B104" s="4">
        <v>45302</v>
      </c>
      <c r="C104" t="s">
        <v>155</v>
      </c>
      <c r="D104" t="s">
        <v>77</v>
      </c>
      <c r="E104" t="s">
        <v>30</v>
      </c>
      <c r="F104" t="s">
        <v>1237</v>
      </c>
      <c r="G104" t="s">
        <v>18</v>
      </c>
      <c r="H104">
        <v>5</v>
      </c>
      <c r="I104">
        <v>42.11</v>
      </c>
      <c r="J104">
        <v>20</v>
      </c>
      <c r="K104">
        <v>168.44</v>
      </c>
      <c r="L104">
        <v>51.47</v>
      </c>
      <c r="M104">
        <v>257.35000000000002</v>
      </c>
      <c r="N104">
        <v>23</v>
      </c>
      <c r="O104" t="s">
        <v>19</v>
      </c>
      <c r="P104" t="s">
        <v>32</v>
      </c>
    </row>
    <row r="105" spans="1:16">
      <c r="A105">
        <v>100457</v>
      </c>
      <c r="B105" s="4">
        <v>45477</v>
      </c>
      <c r="C105" t="s">
        <v>545</v>
      </c>
      <c r="D105" t="s">
        <v>45</v>
      </c>
      <c r="E105" t="s">
        <v>30</v>
      </c>
      <c r="F105" t="s">
        <v>1238</v>
      </c>
      <c r="G105" t="s">
        <v>31</v>
      </c>
      <c r="H105">
        <v>4</v>
      </c>
      <c r="I105">
        <v>14.83</v>
      </c>
      <c r="J105">
        <v>0</v>
      </c>
      <c r="K105">
        <v>59.32</v>
      </c>
      <c r="L105">
        <v>26.54</v>
      </c>
      <c r="M105">
        <v>106.16</v>
      </c>
      <c r="N105">
        <v>26</v>
      </c>
      <c r="O105" t="s">
        <v>19</v>
      </c>
      <c r="P105" t="s">
        <v>43</v>
      </c>
    </row>
    <row r="106" spans="1:16">
      <c r="A106">
        <v>100811</v>
      </c>
      <c r="B106" s="4">
        <v>45102</v>
      </c>
      <c r="C106" t="s">
        <v>540</v>
      </c>
      <c r="D106" t="s">
        <v>53</v>
      </c>
      <c r="E106" t="s">
        <v>30</v>
      </c>
      <c r="F106" t="s">
        <v>1238</v>
      </c>
      <c r="G106" t="s">
        <v>31</v>
      </c>
      <c r="H106">
        <v>4</v>
      </c>
      <c r="I106">
        <v>21.29</v>
      </c>
      <c r="J106">
        <v>5</v>
      </c>
      <c r="K106">
        <v>80.900000000000006</v>
      </c>
      <c r="L106">
        <v>30.97</v>
      </c>
      <c r="M106">
        <v>123.88</v>
      </c>
      <c r="N106">
        <v>31</v>
      </c>
      <c r="O106" t="s">
        <v>19</v>
      </c>
      <c r="P106" t="s">
        <v>46</v>
      </c>
    </row>
    <row r="107" spans="1:16">
      <c r="A107">
        <v>100578</v>
      </c>
      <c r="B107" s="4">
        <v>45521</v>
      </c>
      <c r="C107" t="s">
        <v>531</v>
      </c>
      <c r="D107" t="s">
        <v>45</v>
      </c>
      <c r="E107" t="s">
        <v>30</v>
      </c>
      <c r="F107" t="s">
        <v>1241</v>
      </c>
      <c r="G107" t="s">
        <v>18</v>
      </c>
      <c r="H107">
        <v>2</v>
      </c>
      <c r="I107">
        <v>16.98</v>
      </c>
      <c r="J107">
        <v>0</v>
      </c>
      <c r="K107">
        <v>33.96</v>
      </c>
      <c r="L107">
        <v>13.75</v>
      </c>
      <c r="M107">
        <v>27.5</v>
      </c>
      <c r="N107">
        <v>19</v>
      </c>
      <c r="O107" t="s">
        <v>19</v>
      </c>
      <c r="P107" t="s">
        <v>35</v>
      </c>
    </row>
    <row r="108" spans="1:16">
      <c r="A108">
        <v>100861</v>
      </c>
      <c r="B108" s="4">
        <v>45252</v>
      </c>
      <c r="C108" t="s">
        <v>530</v>
      </c>
      <c r="D108" t="s">
        <v>29</v>
      </c>
      <c r="E108" t="s">
        <v>30</v>
      </c>
      <c r="F108" t="s">
        <v>1241</v>
      </c>
      <c r="G108" t="s">
        <v>18</v>
      </c>
      <c r="H108">
        <v>1</v>
      </c>
      <c r="I108">
        <v>16.010000000000002</v>
      </c>
      <c r="J108">
        <v>0</v>
      </c>
      <c r="K108">
        <v>16.010000000000002</v>
      </c>
      <c r="L108">
        <v>5.89</v>
      </c>
      <c r="M108">
        <v>5.89</v>
      </c>
      <c r="N108">
        <v>16</v>
      </c>
      <c r="O108" t="s">
        <v>19</v>
      </c>
      <c r="P108" t="s">
        <v>81</v>
      </c>
    </row>
    <row r="109" spans="1:16">
      <c r="A109">
        <v>101138</v>
      </c>
      <c r="B109" s="4">
        <v>45586</v>
      </c>
      <c r="C109" t="s">
        <v>522</v>
      </c>
      <c r="D109" t="s">
        <v>77</v>
      </c>
      <c r="E109" t="s">
        <v>30</v>
      </c>
      <c r="F109" t="s">
        <v>1239</v>
      </c>
      <c r="G109" t="s">
        <v>18</v>
      </c>
      <c r="H109">
        <v>1</v>
      </c>
      <c r="I109">
        <v>35.72</v>
      </c>
      <c r="J109">
        <v>0</v>
      </c>
      <c r="K109">
        <v>35.72</v>
      </c>
      <c r="L109">
        <v>15.13</v>
      </c>
      <c r="M109">
        <v>15.13</v>
      </c>
      <c r="N109">
        <v>30</v>
      </c>
      <c r="O109" t="s">
        <v>19</v>
      </c>
      <c r="P109" t="s">
        <v>32</v>
      </c>
    </row>
    <row r="110" spans="1:16">
      <c r="A110">
        <v>100809</v>
      </c>
      <c r="B110" s="4">
        <v>45702</v>
      </c>
      <c r="C110" t="s">
        <v>514</v>
      </c>
      <c r="D110" t="s">
        <v>29</v>
      </c>
      <c r="E110" t="s">
        <v>30</v>
      </c>
      <c r="F110" t="s">
        <v>1241</v>
      </c>
      <c r="G110" t="s">
        <v>64</v>
      </c>
      <c r="H110">
        <v>1</v>
      </c>
      <c r="I110">
        <v>17.52</v>
      </c>
      <c r="J110">
        <v>0</v>
      </c>
      <c r="K110">
        <v>17.52</v>
      </c>
      <c r="L110">
        <v>3.67</v>
      </c>
      <c r="M110">
        <v>3.67</v>
      </c>
      <c r="N110">
        <v>22</v>
      </c>
      <c r="O110" t="s">
        <v>19</v>
      </c>
      <c r="P110" t="s">
        <v>35</v>
      </c>
    </row>
    <row r="111" spans="1:16">
      <c r="A111">
        <v>100029</v>
      </c>
      <c r="B111" s="4">
        <v>45356</v>
      </c>
      <c r="C111" t="s">
        <v>479</v>
      </c>
      <c r="D111" t="s">
        <v>77</v>
      </c>
      <c r="E111" t="s">
        <v>30</v>
      </c>
      <c r="F111" t="s">
        <v>1238</v>
      </c>
      <c r="G111" t="s">
        <v>18</v>
      </c>
      <c r="H111">
        <v>4</v>
      </c>
      <c r="I111">
        <v>40.950000000000003</v>
      </c>
      <c r="J111">
        <v>0</v>
      </c>
      <c r="K111">
        <v>163.80000000000001</v>
      </c>
      <c r="L111">
        <v>57.41</v>
      </c>
      <c r="M111">
        <v>229.64</v>
      </c>
      <c r="N111">
        <v>24</v>
      </c>
      <c r="O111" t="s">
        <v>19</v>
      </c>
      <c r="P111" t="s">
        <v>43</v>
      </c>
    </row>
    <row r="112" spans="1:16">
      <c r="A112">
        <v>100080</v>
      </c>
      <c r="B112" s="4">
        <v>45231</v>
      </c>
      <c r="C112" t="s">
        <v>475</v>
      </c>
      <c r="D112" t="s">
        <v>77</v>
      </c>
      <c r="E112" t="s">
        <v>30</v>
      </c>
      <c r="F112" t="s">
        <v>1238</v>
      </c>
      <c r="G112" t="s">
        <v>31</v>
      </c>
      <c r="H112">
        <v>5</v>
      </c>
      <c r="I112">
        <v>40.369999999999997</v>
      </c>
      <c r="J112">
        <v>0</v>
      </c>
      <c r="K112">
        <v>201.85</v>
      </c>
      <c r="L112">
        <v>88.53</v>
      </c>
      <c r="M112">
        <v>442.65</v>
      </c>
      <c r="N112">
        <v>35</v>
      </c>
      <c r="O112" t="s">
        <v>19</v>
      </c>
      <c r="P112" t="s">
        <v>27</v>
      </c>
    </row>
    <row r="113" spans="1:16">
      <c r="A113">
        <v>100261</v>
      </c>
      <c r="B113" s="4">
        <v>45849</v>
      </c>
      <c r="C113" t="s">
        <v>259</v>
      </c>
      <c r="D113" t="s">
        <v>77</v>
      </c>
      <c r="E113" t="s">
        <v>30</v>
      </c>
      <c r="F113" t="s">
        <v>1241</v>
      </c>
      <c r="G113" t="s">
        <v>18</v>
      </c>
      <c r="H113">
        <v>6</v>
      </c>
      <c r="I113">
        <v>39.33</v>
      </c>
      <c r="J113">
        <v>5</v>
      </c>
      <c r="K113">
        <v>224.18</v>
      </c>
      <c r="L113">
        <v>84.62</v>
      </c>
      <c r="M113">
        <v>507.72</v>
      </c>
      <c r="N113">
        <v>26</v>
      </c>
      <c r="O113" t="s">
        <v>19</v>
      </c>
      <c r="P113" t="s">
        <v>81</v>
      </c>
    </row>
    <row r="114" spans="1:16">
      <c r="A114">
        <v>100110</v>
      </c>
      <c r="B114" s="4">
        <v>45243</v>
      </c>
      <c r="C114" t="s">
        <v>456</v>
      </c>
      <c r="D114" t="s">
        <v>29</v>
      </c>
      <c r="E114" t="s">
        <v>30</v>
      </c>
      <c r="F114" t="s">
        <v>1238</v>
      </c>
      <c r="G114" t="s">
        <v>18</v>
      </c>
      <c r="H114">
        <v>3</v>
      </c>
      <c r="I114">
        <v>17.64</v>
      </c>
      <c r="J114">
        <v>10</v>
      </c>
      <c r="K114">
        <v>47.63</v>
      </c>
      <c r="L114">
        <v>20.059999999999999</v>
      </c>
      <c r="M114">
        <v>60.179999999999993</v>
      </c>
      <c r="N114">
        <v>30</v>
      </c>
      <c r="O114" t="s">
        <v>19</v>
      </c>
      <c r="P114" t="s">
        <v>43</v>
      </c>
    </row>
    <row r="115" spans="1:16">
      <c r="A115">
        <v>100432</v>
      </c>
      <c r="B115" s="4">
        <v>45635</v>
      </c>
      <c r="C115" t="s">
        <v>455</v>
      </c>
      <c r="D115" t="s">
        <v>77</v>
      </c>
      <c r="E115" t="s">
        <v>30</v>
      </c>
      <c r="F115" t="s">
        <v>1237</v>
      </c>
      <c r="G115" t="s">
        <v>18</v>
      </c>
      <c r="H115">
        <v>3</v>
      </c>
      <c r="I115">
        <v>38.090000000000003</v>
      </c>
      <c r="J115">
        <v>20</v>
      </c>
      <c r="K115">
        <v>91.42</v>
      </c>
      <c r="L115">
        <v>31.63</v>
      </c>
      <c r="M115">
        <v>94.89</v>
      </c>
      <c r="N115">
        <v>33</v>
      </c>
      <c r="O115" t="s">
        <v>19</v>
      </c>
      <c r="P115" t="s">
        <v>43</v>
      </c>
    </row>
    <row r="116" spans="1:16">
      <c r="A116">
        <v>101114</v>
      </c>
      <c r="B116" s="4">
        <v>45848</v>
      </c>
      <c r="C116" t="s">
        <v>446</v>
      </c>
      <c r="D116" t="s">
        <v>34</v>
      </c>
      <c r="E116" t="s">
        <v>30</v>
      </c>
      <c r="F116" t="s">
        <v>1241</v>
      </c>
      <c r="G116" t="s">
        <v>31</v>
      </c>
      <c r="H116">
        <v>1</v>
      </c>
      <c r="I116">
        <v>53.66</v>
      </c>
      <c r="J116">
        <v>10</v>
      </c>
      <c r="K116">
        <v>48.29</v>
      </c>
      <c r="L116">
        <v>18.54</v>
      </c>
      <c r="M116">
        <v>18.54</v>
      </c>
      <c r="N116">
        <v>27</v>
      </c>
      <c r="O116" t="s">
        <v>19</v>
      </c>
      <c r="P116" t="s">
        <v>43</v>
      </c>
    </row>
    <row r="117" spans="1:16">
      <c r="A117">
        <v>100316</v>
      </c>
      <c r="B117" s="4">
        <v>45137</v>
      </c>
      <c r="C117" t="s">
        <v>430</v>
      </c>
      <c r="D117" t="s">
        <v>56</v>
      </c>
      <c r="E117" t="s">
        <v>30</v>
      </c>
      <c r="F117" t="s">
        <v>1241</v>
      </c>
      <c r="G117" t="s">
        <v>18</v>
      </c>
      <c r="H117">
        <v>4</v>
      </c>
      <c r="I117">
        <v>37.36</v>
      </c>
      <c r="J117">
        <v>0</v>
      </c>
      <c r="K117">
        <v>149.44</v>
      </c>
      <c r="L117">
        <v>42.96</v>
      </c>
      <c r="M117">
        <v>171.84</v>
      </c>
      <c r="N117">
        <v>36</v>
      </c>
      <c r="O117" t="s">
        <v>19</v>
      </c>
      <c r="P117" t="s">
        <v>51</v>
      </c>
    </row>
    <row r="118" spans="1:16">
      <c r="A118">
        <v>101045</v>
      </c>
      <c r="B118" s="4">
        <v>45628</v>
      </c>
      <c r="C118" t="s">
        <v>423</v>
      </c>
      <c r="D118" t="s">
        <v>45</v>
      </c>
      <c r="E118" t="s">
        <v>30</v>
      </c>
      <c r="F118" t="s">
        <v>1240</v>
      </c>
      <c r="G118" t="s">
        <v>18</v>
      </c>
      <c r="H118">
        <v>4</v>
      </c>
      <c r="I118">
        <v>17.440000000000001</v>
      </c>
      <c r="J118">
        <v>0</v>
      </c>
      <c r="K118">
        <v>69.760000000000005</v>
      </c>
      <c r="L118">
        <v>33.71</v>
      </c>
      <c r="M118">
        <v>134.84</v>
      </c>
      <c r="N118">
        <v>28</v>
      </c>
      <c r="O118" t="s">
        <v>19</v>
      </c>
      <c r="P118" t="s">
        <v>32</v>
      </c>
    </row>
    <row r="119" spans="1:16">
      <c r="A119">
        <v>100715</v>
      </c>
      <c r="B119" s="4">
        <v>45686</v>
      </c>
      <c r="C119" t="s">
        <v>420</v>
      </c>
      <c r="D119" t="s">
        <v>34</v>
      </c>
      <c r="E119" t="s">
        <v>30</v>
      </c>
      <c r="F119" t="s">
        <v>1241</v>
      </c>
      <c r="G119" t="s">
        <v>48</v>
      </c>
      <c r="H119">
        <v>3</v>
      </c>
      <c r="I119">
        <v>57.29</v>
      </c>
      <c r="J119">
        <v>0</v>
      </c>
      <c r="K119">
        <v>171.87</v>
      </c>
      <c r="L119">
        <v>70.94</v>
      </c>
      <c r="M119">
        <v>212.82</v>
      </c>
      <c r="N119">
        <v>33</v>
      </c>
      <c r="O119" t="s">
        <v>19</v>
      </c>
      <c r="P119" t="s">
        <v>32</v>
      </c>
    </row>
    <row r="120" spans="1:16">
      <c r="A120">
        <v>100746</v>
      </c>
      <c r="B120" s="4">
        <v>45227</v>
      </c>
      <c r="C120" t="s">
        <v>419</v>
      </c>
      <c r="D120" t="s">
        <v>53</v>
      </c>
      <c r="E120" t="s">
        <v>30</v>
      </c>
      <c r="F120" t="s">
        <v>1241</v>
      </c>
      <c r="G120" t="s">
        <v>18</v>
      </c>
      <c r="H120">
        <v>2</v>
      </c>
      <c r="I120">
        <v>18.37</v>
      </c>
      <c r="J120">
        <v>5</v>
      </c>
      <c r="K120">
        <v>34.9</v>
      </c>
      <c r="L120">
        <v>11.59</v>
      </c>
      <c r="M120">
        <v>23.18</v>
      </c>
      <c r="N120">
        <v>16</v>
      </c>
      <c r="O120" t="s">
        <v>19</v>
      </c>
      <c r="P120" t="s">
        <v>81</v>
      </c>
    </row>
    <row r="121" spans="1:16">
      <c r="A121">
        <v>100522</v>
      </c>
      <c r="B121" s="4">
        <v>45925</v>
      </c>
      <c r="C121" t="s">
        <v>411</v>
      </c>
      <c r="D121" t="s">
        <v>45</v>
      </c>
      <c r="E121" t="s">
        <v>30</v>
      </c>
      <c r="F121" t="s">
        <v>1238</v>
      </c>
      <c r="G121" t="s">
        <v>18</v>
      </c>
      <c r="H121">
        <v>2</v>
      </c>
      <c r="I121">
        <v>14.5</v>
      </c>
      <c r="J121">
        <v>0</v>
      </c>
      <c r="K121">
        <v>29</v>
      </c>
      <c r="L121">
        <v>7.69</v>
      </c>
      <c r="M121">
        <v>15.38</v>
      </c>
      <c r="N121">
        <v>29</v>
      </c>
      <c r="O121" t="s">
        <v>19</v>
      </c>
      <c r="P121" t="s">
        <v>35</v>
      </c>
    </row>
    <row r="122" spans="1:16">
      <c r="A122">
        <v>100535</v>
      </c>
      <c r="B122" s="4">
        <v>45186</v>
      </c>
      <c r="C122" t="s">
        <v>398</v>
      </c>
      <c r="D122" t="s">
        <v>53</v>
      </c>
      <c r="E122" t="s">
        <v>30</v>
      </c>
      <c r="F122" t="s">
        <v>1241</v>
      </c>
      <c r="G122" t="s">
        <v>48</v>
      </c>
      <c r="H122">
        <v>2</v>
      </c>
      <c r="I122">
        <v>22.95</v>
      </c>
      <c r="J122">
        <v>0</v>
      </c>
      <c r="K122">
        <v>45.9</v>
      </c>
      <c r="L122">
        <v>16.100000000000001</v>
      </c>
      <c r="M122">
        <v>32.200000000000003</v>
      </c>
      <c r="N122">
        <v>33</v>
      </c>
      <c r="O122" t="s">
        <v>19</v>
      </c>
      <c r="P122" t="s">
        <v>51</v>
      </c>
    </row>
    <row r="123" spans="1:16">
      <c r="A123">
        <v>100780</v>
      </c>
      <c r="B123" s="4">
        <v>45872</v>
      </c>
      <c r="C123" t="s">
        <v>394</v>
      </c>
      <c r="D123" t="s">
        <v>45</v>
      </c>
      <c r="E123" t="s">
        <v>30</v>
      </c>
      <c r="F123" t="s">
        <v>1237</v>
      </c>
      <c r="G123" t="s">
        <v>48</v>
      </c>
      <c r="H123">
        <v>3</v>
      </c>
      <c r="I123">
        <v>14.79</v>
      </c>
      <c r="J123">
        <v>0</v>
      </c>
      <c r="K123">
        <v>44.37</v>
      </c>
      <c r="L123">
        <v>16.170000000000002</v>
      </c>
      <c r="M123">
        <v>48.510000000000005</v>
      </c>
      <c r="N123">
        <v>29</v>
      </c>
      <c r="O123" t="s">
        <v>19</v>
      </c>
      <c r="P123" t="s">
        <v>51</v>
      </c>
    </row>
    <row r="124" spans="1:16">
      <c r="A124">
        <v>100027</v>
      </c>
      <c r="B124" s="4">
        <v>45525</v>
      </c>
      <c r="C124" t="s">
        <v>390</v>
      </c>
      <c r="D124" t="s">
        <v>53</v>
      </c>
      <c r="E124" t="s">
        <v>30</v>
      </c>
      <c r="F124" t="s">
        <v>1239</v>
      </c>
      <c r="G124" t="s">
        <v>18</v>
      </c>
      <c r="H124">
        <v>5</v>
      </c>
      <c r="I124">
        <v>21.43</v>
      </c>
      <c r="J124">
        <v>0</v>
      </c>
      <c r="K124">
        <v>107.15</v>
      </c>
      <c r="L124">
        <v>45.59</v>
      </c>
      <c r="M124">
        <v>227.95000000000002</v>
      </c>
      <c r="N124">
        <v>50</v>
      </c>
      <c r="O124" t="s">
        <v>19</v>
      </c>
      <c r="P124" t="s">
        <v>27</v>
      </c>
    </row>
    <row r="125" spans="1:16">
      <c r="A125">
        <v>100405</v>
      </c>
      <c r="B125" s="4">
        <v>45277</v>
      </c>
      <c r="C125" t="s">
        <v>382</v>
      </c>
      <c r="D125" t="s">
        <v>53</v>
      </c>
      <c r="E125" t="s">
        <v>30</v>
      </c>
      <c r="F125" t="s">
        <v>1241</v>
      </c>
      <c r="G125" t="s">
        <v>64</v>
      </c>
      <c r="H125">
        <v>3</v>
      </c>
      <c r="I125">
        <v>19.11</v>
      </c>
      <c r="J125">
        <v>5</v>
      </c>
      <c r="K125">
        <v>54.46</v>
      </c>
      <c r="L125">
        <v>20.02</v>
      </c>
      <c r="M125">
        <v>60.06</v>
      </c>
      <c r="N125">
        <v>30</v>
      </c>
      <c r="O125" t="s">
        <v>19</v>
      </c>
      <c r="P125" t="s">
        <v>32</v>
      </c>
    </row>
    <row r="126" spans="1:16">
      <c r="A126">
        <v>100816</v>
      </c>
      <c r="B126" s="4">
        <v>45032</v>
      </c>
      <c r="C126" t="s">
        <v>361</v>
      </c>
      <c r="D126" t="s">
        <v>34</v>
      </c>
      <c r="E126" t="s">
        <v>30</v>
      </c>
      <c r="F126" t="s">
        <v>1239</v>
      </c>
      <c r="G126" t="s">
        <v>31</v>
      </c>
      <c r="H126">
        <v>5</v>
      </c>
      <c r="I126">
        <v>58.03</v>
      </c>
      <c r="J126">
        <v>0</v>
      </c>
      <c r="K126">
        <v>290.14999999999998</v>
      </c>
      <c r="L126">
        <v>101.53</v>
      </c>
      <c r="M126">
        <v>507.65</v>
      </c>
      <c r="N126">
        <v>25</v>
      </c>
      <c r="O126" t="s">
        <v>19</v>
      </c>
      <c r="P126" t="s">
        <v>20</v>
      </c>
    </row>
    <row r="127" spans="1:16">
      <c r="A127">
        <v>100671</v>
      </c>
      <c r="B127" s="4">
        <v>45782</v>
      </c>
      <c r="C127" t="s">
        <v>356</v>
      </c>
      <c r="D127" t="s">
        <v>77</v>
      </c>
      <c r="E127" t="s">
        <v>30</v>
      </c>
      <c r="F127" t="s">
        <v>1237</v>
      </c>
      <c r="G127" t="s">
        <v>18</v>
      </c>
      <c r="H127">
        <v>3</v>
      </c>
      <c r="I127">
        <v>43.78</v>
      </c>
      <c r="J127">
        <v>10</v>
      </c>
      <c r="K127">
        <v>118.21</v>
      </c>
      <c r="L127">
        <v>58.07</v>
      </c>
      <c r="M127">
        <v>174.21</v>
      </c>
      <c r="N127">
        <v>18</v>
      </c>
      <c r="O127" t="s">
        <v>19</v>
      </c>
      <c r="P127" t="s">
        <v>51</v>
      </c>
    </row>
    <row r="128" spans="1:16">
      <c r="A128">
        <v>100845</v>
      </c>
      <c r="B128" s="4">
        <v>45676</v>
      </c>
      <c r="C128" t="s">
        <v>352</v>
      </c>
      <c r="D128" t="s">
        <v>34</v>
      </c>
      <c r="E128" t="s">
        <v>30</v>
      </c>
      <c r="F128" t="s">
        <v>1241</v>
      </c>
      <c r="G128" t="s">
        <v>18</v>
      </c>
      <c r="H128">
        <v>3</v>
      </c>
      <c r="I128">
        <v>61.27</v>
      </c>
      <c r="J128">
        <v>0</v>
      </c>
      <c r="K128">
        <v>183.81</v>
      </c>
      <c r="L128">
        <v>62.6</v>
      </c>
      <c r="M128">
        <v>187.8</v>
      </c>
      <c r="N128">
        <v>33</v>
      </c>
      <c r="O128" t="s">
        <v>19</v>
      </c>
      <c r="P128" t="s">
        <v>35</v>
      </c>
    </row>
    <row r="129" spans="1:16">
      <c r="A129">
        <v>100128</v>
      </c>
      <c r="B129" s="4">
        <v>45391</v>
      </c>
      <c r="C129" t="s">
        <v>180</v>
      </c>
      <c r="D129" t="s">
        <v>56</v>
      </c>
      <c r="E129" t="s">
        <v>30</v>
      </c>
      <c r="F129" t="s">
        <v>1241</v>
      </c>
      <c r="G129" t="s">
        <v>31</v>
      </c>
      <c r="H129">
        <v>1</v>
      </c>
      <c r="I129">
        <v>41</v>
      </c>
      <c r="J129">
        <v>0</v>
      </c>
      <c r="K129">
        <v>41</v>
      </c>
      <c r="L129">
        <v>18.559999999999999</v>
      </c>
      <c r="M129">
        <v>18.559999999999999</v>
      </c>
      <c r="N129">
        <v>33</v>
      </c>
      <c r="O129" t="s">
        <v>19</v>
      </c>
      <c r="P129" t="s">
        <v>51</v>
      </c>
    </row>
    <row r="130" spans="1:16">
      <c r="A130">
        <v>100772</v>
      </c>
      <c r="B130" s="4">
        <v>45805</v>
      </c>
      <c r="C130" t="s">
        <v>347</v>
      </c>
      <c r="D130" t="s">
        <v>29</v>
      </c>
      <c r="E130" t="s">
        <v>30</v>
      </c>
      <c r="F130" t="s">
        <v>1239</v>
      </c>
      <c r="G130" t="s">
        <v>18</v>
      </c>
      <c r="H130">
        <v>4</v>
      </c>
      <c r="I130">
        <v>18.440000000000001</v>
      </c>
      <c r="J130">
        <v>5</v>
      </c>
      <c r="K130">
        <v>70.069999999999993</v>
      </c>
      <c r="L130">
        <v>17.75</v>
      </c>
      <c r="M130">
        <v>71</v>
      </c>
      <c r="N130">
        <v>28</v>
      </c>
      <c r="O130" t="s">
        <v>19</v>
      </c>
      <c r="P130" t="s">
        <v>20</v>
      </c>
    </row>
    <row r="131" spans="1:16">
      <c r="A131">
        <v>101168</v>
      </c>
      <c r="B131" s="4">
        <v>45520</v>
      </c>
      <c r="C131" t="s">
        <v>345</v>
      </c>
      <c r="D131" t="s">
        <v>56</v>
      </c>
      <c r="E131" t="s">
        <v>30</v>
      </c>
      <c r="F131" t="s">
        <v>1239</v>
      </c>
      <c r="G131" t="s">
        <v>18</v>
      </c>
      <c r="H131">
        <v>2</v>
      </c>
      <c r="I131">
        <v>45.69</v>
      </c>
      <c r="J131">
        <v>0</v>
      </c>
      <c r="K131">
        <v>91.38</v>
      </c>
      <c r="L131">
        <v>36.33</v>
      </c>
      <c r="M131">
        <v>72.66</v>
      </c>
      <c r="N131">
        <v>26</v>
      </c>
      <c r="O131" t="s">
        <v>19</v>
      </c>
      <c r="P131" t="s">
        <v>43</v>
      </c>
    </row>
    <row r="132" spans="1:16">
      <c r="A132">
        <v>101177</v>
      </c>
      <c r="B132" s="4">
        <v>45364</v>
      </c>
      <c r="C132" t="s">
        <v>343</v>
      </c>
      <c r="D132" t="s">
        <v>29</v>
      </c>
      <c r="E132" t="s">
        <v>30</v>
      </c>
      <c r="F132" t="s">
        <v>1238</v>
      </c>
      <c r="G132" t="s">
        <v>18</v>
      </c>
      <c r="H132">
        <v>3</v>
      </c>
      <c r="I132">
        <v>17.440000000000001</v>
      </c>
      <c r="J132">
        <v>5</v>
      </c>
      <c r="K132">
        <v>49.7</v>
      </c>
      <c r="L132">
        <v>19.57</v>
      </c>
      <c r="M132">
        <v>58.71</v>
      </c>
      <c r="N132">
        <v>28</v>
      </c>
      <c r="O132" t="s">
        <v>19</v>
      </c>
      <c r="P132" t="s">
        <v>32</v>
      </c>
    </row>
    <row r="133" spans="1:16">
      <c r="A133">
        <v>101147</v>
      </c>
      <c r="B133" s="4">
        <v>45922</v>
      </c>
      <c r="C133" t="s">
        <v>184</v>
      </c>
      <c r="D133" t="s">
        <v>53</v>
      </c>
      <c r="E133" t="s">
        <v>30</v>
      </c>
      <c r="F133" t="s">
        <v>1241</v>
      </c>
      <c r="G133" t="s">
        <v>18</v>
      </c>
      <c r="H133">
        <v>4</v>
      </c>
      <c r="I133">
        <v>22.37</v>
      </c>
      <c r="J133">
        <v>10</v>
      </c>
      <c r="K133">
        <v>80.53</v>
      </c>
      <c r="L133">
        <v>21.97</v>
      </c>
      <c r="M133">
        <v>87.88</v>
      </c>
      <c r="N133">
        <v>18</v>
      </c>
      <c r="O133" t="s">
        <v>19</v>
      </c>
      <c r="P133" t="s">
        <v>51</v>
      </c>
    </row>
    <row r="134" spans="1:16">
      <c r="A134">
        <v>101033</v>
      </c>
      <c r="B134" s="4">
        <v>45609</v>
      </c>
      <c r="C134" t="s">
        <v>337</v>
      </c>
      <c r="D134" t="s">
        <v>34</v>
      </c>
      <c r="E134" t="s">
        <v>30</v>
      </c>
      <c r="F134" t="s">
        <v>1237</v>
      </c>
      <c r="G134" t="s">
        <v>48</v>
      </c>
      <c r="H134">
        <v>2</v>
      </c>
      <c r="I134">
        <v>63.01</v>
      </c>
      <c r="J134">
        <v>20</v>
      </c>
      <c r="K134">
        <v>100.82</v>
      </c>
      <c r="L134">
        <v>28.01</v>
      </c>
      <c r="M134">
        <v>56.02</v>
      </c>
      <c r="N134">
        <v>24</v>
      </c>
      <c r="O134" t="s">
        <v>19</v>
      </c>
      <c r="P134" t="s">
        <v>35</v>
      </c>
    </row>
    <row r="135" spans="1:16">
      <c r="A135">
        <v>100602</v>
      </c>
      <c r="B135" s="4">
        <v>45192</v>
      </c>
      <c r="C135" t="s">
        <v>336</v>
      </c>
      <c r="D135" t="s">
        <v>56</v>
      </c>
      <c r="E135" t="s">
        <v>30</v>
      </c>
      <c r="F135" t="s">
        <v>1237</v>
      </c>
      <c r="G135" t="s">
        <v>64</v>
      </c>
      <c r="H135">
        <v>3</v>
      </c>
      <c r="I135">
        <v>38.81</v>
      </c>
      <c r="J135">
        <v>0</v>
      </c>
      <c r="K135">
        <v>116.43</v>
      </c>
      <c r="L135">
        <v>53.32</v>
      </c>
      <c r="M135">
        <v>159.96</v>
      </c>
      <c r="N135">
        <v>21</v>
      </c>
      <c r="O135" t="s">
        <v>19</v>
      </c>
      <c r="P135" t="s">
        <v>46</v>
      </c>
    </row>
    <row r="136" spans="1:16">
      <c r="A136">
        <v>100289</v>
      </c>
      <c r="B136" s="4">
        <v>45195</v>
      </c>
      <c r="C136" t="s">
        <v>327</v>
      </c>
      <c r="D136" t="s">
        <v>53</v>
      </c>
      <c r="E136" t="s">
        <v>30</v>
      </c>
      <c r="F136" t="s">
        <v>1237</v>
      </c>
      <c r="G136" t="s">
        <v>31</v>
      </c>
      <c r="H136">
        <v>3</v>
      </c>
      <c r="I136">
        <v>21.46</v>
      </c>
      <c r="J136">
        <v>0</v>
      </c>
      <c r="K136">
        <v>64.38</v>
      </c>
      <c r="L136">
        <v>19.04</v>
      </c>
      <c r="M136">
        <v>57.12</v>
      </c>
      <c r="N136">
        <v>21</v>
      </c>
      <c r="O136" t="s">
        <v>19</v>
      </c>
      <c r="P136" t="s">
        <v>27</v>
      </c>
    </row>
    <row r="137" spans="1:16">
      <c r="A137">
        <v>100622</v>
      </c>
      <c r="B137" s="4">
        <v>45022</v>
      </c>
      <c r="C137" t="s">
        <v>188</v>
      </c>
      <c r="D137" t="s">
        <v>29</v>
      </c>
      <c r="E137" t="s">
        <v>30</v>
      </c>
      <c r="F137" t="s">
        <v>1238</v>
      </c>
      <c r="G137" t="s">
        <v>31</v>
      </c>
      <c r="H137">
        <v>5</v>
      </c>
      <c r="I137">
        <v>16.43</v>
      </c>
      <c r="J137">
        <v>10</v>
      </c>
      <c r="K137">
        <v>73.94</v>
      </c>
      <c r="L137">
        <v>28.72</v>
      </c>
      <c r="M137">
        <v>143.6</v>
      </c>
      <c r="N137">
        <v>23</v>
      </c>
      <c r="O137" t="s">
        <v>19</v>
      </c>
      <c r="P137" t="s">
        <v>46</v>
      </c>
    </row>
    <row r="138" spans="1:16">
      <c r="A138">
        <v>100465</v>
      </c>
      <c r="B138" s="4">
        <v>45796</v>
      </c>
      <c r="C138" t="s">
        <v>322</v>
      </c>
      <c r="D138" t="s">
        <v>56</v>
      </c>
      <c r="E138" t="s">
        <v>30</v>
      </c>
      <c r="F138" t="s">
        <v>1237</v>
      </c>
      <c r="G138" t="s">
        <v>31</v>
      </c>
      <c r="H138">
        <v>4</v>
      </c>
      <c r="I138">
        <v>51.19</v>
      </c>
      <c r="J138">
        <v>0</v>
      </c>
      <c r="K138">
        <v>204.76</v>
      </c>
      <c r="L138">
        <v>59.69</v>
      </c>
      <c r="M138">
        <v>238.76</v>
      </c>
      <c r="N138">
        <v>36</v>
      </c>
      <c r="O138" t="s">
        <v>19</v>
      </c>
      <c r="P138" t="s">
        <v>51</v>
      </c>
    </row>
    <row r="139" spans="1:16">
      <c r="A139">
        <v>100667</v>
      </c>
      <c r="B139" s="4">
        <v>44991</v>
      </c>
      <c r="C139" t="s">
        <v>317</v>
      </c>
      <c r="D139" t="s">
        <v>45</v>
      </c>
      <c r="E139" t="s">
        <v>30</v>
      </c>
      <c r="F139" t="s">
        <v>1238</v>
      </c>
      <c r="G139" t="s">
        <v>64</v>
      </c>
      <c r="H139">
        <v>6</v>
      </c>
      <c r="I139">
        <v>15.22</v>
      </c>
      <c r="J139">
        <v>0</v>
      </c>
      <c r="K139">
        <v>91.32</v>
      </c>
      <c r="L139">
        <v>26.48</v>
      </c>
      <c r="M139">
        <v>158.88</v>
      </c>
      <c r="N139">
        <v>23</v>
      </c>
      <c r="O139" t="s">
        <v>19</v>
      </c>
      <c r="P139" t="s">
        <v>81</v>
      </c>
    </row>
    <row r="140" spans="1:16">
      <c r="A140">
        <v>100266</v>
      </c>
      <c r="B140" s="4">
        <v>45623</v>
      </c>
      <c r="C140" t="s">
        <v>311</v>
      </c>
      <c r="D140" t="s">
        <v>77</v>
      </c>
      <c r="E140" t="s">
        <v>30</v>
      </c>
      <c r="F140" t="s">
        <v>1241</v>
      </c>
      <c r="G140" t="s">
        <v>31</v>
      </c>
      <c r="H140">
        <v>1</v>
      </c>
      <c r="I140">
        <v>37.5</v>
      </c>
      <c r="J140">
        <v>0</v>
      </c>
      <c r="K140">
        <v>37.5</v>
      </c>
      <c r="L140">
        <v>14.68</v>
      </c>
      <c r="M140">
        <v>14.68</v>
      </c>
      <c r="N140">
        <v>37</v>
      </c>
      <c r="O140" t="s">
        <v>19</v>
      </c>
      <c r="P140" t="s">
        <v>27</v>
      </c>
    </row>
    <row r="141" spans="1:16">
      <c r="A141">
        <v>100331</v>
      </c>
      <c r="B141" s="4">
        <v>45304</v>
      </c>
      <c r="C141" t="s">
        <v>293</v>
      </c>
      <c r="D141" t="s">
        <v>77</v>
      </c>
      <c r="E141" t="s">
        <v>30</v>
      </c>
      <c r="F141" t="s">
        <v>1240</v>
      </c>
      <c r="G141" t="s">
        <v>31</v>
      </c>
      <c r="H141">
        <v>1</v>
      </c>
      <c r="I141">
        <v>43.72</v>
      </c>
      <c r="J141">
        <v>0</v>
      </c>
      <c r="K141">
        <v>43.72</v>
      </c>
      <c r="L141">
        <v>17.41</v>
      </c>
      <c r="M141">
        <v>17.41</v>
      </c>
      <c r="N141">
        <v>34</v>
      </c>
      <c r="O141" t="s">
        <v>19</v>
      </c>
      <c r="P141" t="s">
        <v>51</v>
      </c>
    </row>
    <row r="142" spans="1:16">
      <c r="A142">
        <v>100519</v>
      </c>
      <c r="B142" s="4">
        <v>45886</v>
      </c>
      <c r="C142" t="s">
        <v>278</v>
      </c>
      <c r="D142" t="s">
        <v>53</v>
      </c>
      <c r="E142" t="s">
        <v>30</v>
      </c>
      <c r="F142" t="s">
        <v>1241</v>
      </c>
      <c r="G142" t="s">
        <v>18</v>
      </c>
      <c r="H142">
        <v>2</v>
      </c>
      <c r="I142">
        <v>20.76</v>
      </c>
      <c r="J142">
        <v>0</v>
      </c>
      <c r="K142">
        <v>41.52</v>
      </c>
      <c r="L142">
        <v>8.75</v>
      </c>
      <c r="M142">
        <v>17.5</v>
      </c>
      <c r="N142">
        <v>26</v>
      </c>
      <c r="O142" t="s">
        <v>19</v>
      </c>
      <c r="P142" t="s">
        <v>27</v>
      </c>
    </row>
    <row r="143" spans="1:16">
      <c r="A143">
        <v>100626</v>
      </c>
      <c r="B143" s="4">
        <v>45337</v>
      </c>
      <c r="C143" t="s">
        <v>194</v>
      </c>
      <c r="D143" t="s">
        <v>77</v>
      </c>
      <c r="E143" t="s">
        <v>30</v>
      </c>
      <c r="F143" t="s">
        <v>1237</v>
      </c>
      <c r="G143" t="s">
        <v>31</v>
      </c>
      <c r="H143">
        <v>3</v>
      </c>
      <c r="I143">
        <v>32.78</v>
      </c>
      <c r="J143">
        <v>5</v>
      </c>
      <c r="K143">
        <v>93.42</v>
      </c>
      <c r="L143">
        <v>23.12</v>
      </c>
      <c r="M143">
        <v>69.36</v>
      </c>
      <c r="N143">
        <v>33</v>
      </c>
      <c r="O143" t="s">
        <v>19</v>
      </c>
      <c r="P143" t="s">
        <v>32</v>
      </c>
    </row>
    <row r="144" spans="1:16">
      <c r="A144">
        <v>101136</v>
      </c>
      <c r="B144" s="4">
        <v>45625</v>
      </c>
      <c r="C144" t="s">
        <v>273</v>
      </c>
      <c r="D144" t="s">
        <v>34</v>
      </c>
      <c r="E144" t="s">
        <v>30</v>
      </c>
      <c r="F144" t="s">
        <v>1238</v>
      </c>
      <c r="G144" t="s">
        <v>18</v>
      </c>
      <c r="H144">
        <v>2</v>
      </c>
      <c r="I144">
        <v>54.6</v>
      </c>
      <c r="J144">
        <v>5</v>
      </c>
      <c r="K144">
        <v>103.74</v>
      </c>
      <c r="L144">
        <v>26.29</v>
      </c>
      <c r="M144">
        <v>52.58</v>
      </c>
      <c r="N144">
        <v>27</v>
      </c>
      <c r="O144" t="s">
        <v>19</v>
      </c>
      <c r="P144" t="s">
        <v>46</v>
      </c>
    </row>
    <row r="145" spans="1:16">
      <c r="A145">
        <v>100682</v>
      </c>
      <c r="B145" s="4">
        <v>45665</v>
      </c>
      <c r="C145" t="s">
        <v>271</v>
      </c>
      <c r="D145" t="s">
        <v>29</v>
      </c>
      <c r="E145" t="s">
        <v>30</v>
      </c>
      <c r="F145" t="s">
        <v>1238</v>
      </c>
      <c r="G145" t="s">
        <v>18</v>
      </c>
      <c r="H145">
        <v>3</v>
      </c>
      <c r="I145">
        <v>17.48</v>
      </c>
      <c r="J145">
        <v>0</v>
      </c>
      <c r="K145">
        <v>52.44</v>
      </c>
      <c r="L145">
        <v>14.63</v>
      </c>
      <c r="M145">
        <v>43.89</v>
      </c>
      <c r="N145">
        <v>28</v>
      </c>
      <c r="O145" t="s">
        <v>19</v>
      </c>
      <c r="P145" t="s">
        <v>43</v>
      </c>
    </row>
    <row r="146" spans="1:16">
      <c r="A146">
        <v>100956</v>
      </c>
      <c r="B146" s="4">
        <v>45881</v>
      </c>
      <c r="C146" t="s">
        <v>256</v>
      </c>
      <c r="D146" t="s">
        <v>77</v>
      </c>
      <c r="E146" t="s">
        <v>30</v>
      </c>
      <c r="F146" t="s">
        <v>1237</v>
      </c>
      <c r="G146" t="s">
        <v>64</v>
      </c>
      <c r="H146">
        <v>6</v>
      </c>
      <c r="I146">
        <v>43.29</v>
      </c>
      <c r="J146">
        <v>20</v>
      </c>
      <c r="K146">
        <v>207.79</v>
      </c>
      <c r="L146">
        <v>75.87</v>
      </c>
      <c r="M146">
        <v>455.22</v>
      </c>
      <c r="N146">
        <v>21</v>
      </c>
      <c r="O146" t="s">
        <v>19</v>
      </c>
      <c r="P146" t="s">
        <v>43</v>
      </c>
    </row>
    <row r="147" spans="1:16">
      <c r="A147">
        <v>100497</v>
      </c>
      <c r="B147" s="4">
        <v>45637</v>
      </c>
      <c r="C147" t="s">
        <v>239</v>
      </c>
      <c r="D147" t="s">
        <v>29</v>
      </c>
      <c r="E147" t="s">
        <v>30</v>
      </c>
      <c r="F147" t="s">
        <v>1237</v>
      </c>
      <c r="G147" t="s">
        <v>31</v>
      </c>
      <c r="H147">
        <v>3</v>
      </c>
      <c r="I147">
        <v>17.920000000000002</v>
      </c>
      <c r="J147">
        <v>0</v>
      </c>
      <c r="K147">
        <v>53.76</v>
      </c>
      <c r="L147">
        <v>19.989999999999998</v>
      </c>
      <c r="M147">
        <v>59.97</v>
      </c>
      <c r="N147">
        <v>22</v>
      </c>
      <c r="O147" t="s">
        <v>19</v>
      </c>
      <c r="P147" t="s">
        <v>46</v>
      </c>
    </row>
    <row r="148" spans="1:16">
      <c r="A148">
        <v>100208</v>
      </c>
      <c r="B148" s="4">
        <v>45538</v>
      </c>
      <c r="C148" t="s">
        <v>235</v>
      </c>
      <c r="D148" t="s">
        <v>53</v>
      </c>
      <c r="E148" t="s">
        <v>30</v>
      </c>
      <c r="F148" t="s">
        <v>1237</v>
      </c>
      <c r="G148" t="s">
        <v>64</v>
      </c>
      <c r="H148">
        <v>3</v>
      </c>
      <c r="I148">
        <v>23.29</v>
      </c>
      <c r="J148">
        <v>40</v>
      </c>
      <c r="K148">
        <v>41.92</v>
      </c>
      <c r="L148">
        <v>13.6</v>
      </c>
      <c r="M148">
        <v>40.799999999999997</v>
      </c>
      <c r="N148">
        <v>31</v>
      </c>
      <c r="O148" t="s">
        <v>19</v>
      </c>
      <c r="P148" t="s">
        <v>51</v>
      </c>
    </row>
    <row r="149" spans="1:16">
      <c r="A149">
        <v>100666</v>
      </c>
      <c r="B149" s="4">
        <v>45013</v>
      </c>
      <c r="C149" t="s">
        <v>200</v>
      </c>
      <c r="D149" t="s">
        <v>29</v>
      </c>
      <c r="E149" t="s">
        <v>30</v>
      </c>
      <c r="F149" t="s">
        <v>1241</v>
      </c>
      <c r="G149" t="s">
        <v>18</v>
      </c>
      <c r="H149">
        <v>3</v>
      </c>
      <c r="I149">
        <v>14.85</v>
      </c>
      <c r="J149">
        <v>0</v>
      </c>
      <c r="K149">
        <v>44.55</v>
      </c>
      <c r="L149">
        <v>18.43</v>
      </c>
      <c r="M149">
        <v>55.29</v>
      </c>
      <c r="N149">
        <v>37</v>
      </c>
      <c r="O149" t="s">
        <v>19</v>
      </c>
      <c r="P149" t="s">
        <v>51</v>
      </c>
    </row>
    <row r="150" spans="1:16">
      <c r="A150">
        <v>100306</v>
      </c>
      <c r="B150" s="4">
        <v>45487</v>
      </c>
      <c r="C150" t="s">
        <v>212</v>
      </c>
      <c r="D150" t="s">
        <v>77</v>
      </c>
      <c r="E150" t="s">
        <v>30</v>
      </c>
      <c r="F150" t="s">
        <v>1239</v>
      </c>
      <c r="G150" t="s">
        <v>31</v>
      </c>
      <c r="H150">
        <v>2</v>
      </c>
      <c r="I150">
        <v>41.02</v>
      </c>
      <c r="J150">
        <v>10</v>
      </c>
      <c r="K150">
        <v>73.84</v>
      </c>
      <c r="L150">
        <v>24.2</v>
      </c>
      <c r="M150">
        <v>48.4</v>
      </c>
      <c r="N150">
        <v>29</v>
      </c>
      <c r="O150" t="s">
        <v>19</v>
      </c>
      <c r="P150" t="s">
        <v>81</v>
      </c>
    </row>
    <row r="151" spans="1:16">
      <c r="A151">
        <v>100260</v>
      </c>
      <c r="B151" s="4">
        <v>45438</v>
      </c>
      <c r="C151" t="s">
        <v>210</v>
      </c>
      <c r="D151" t="s">
        <v>34</v>
      </c>
      <c r="E151" t="s">
        <v>30</v>
      </c>
      <c r="F151" t="s">
        <v>1238</v>
      </c>
      <c r="G151" t="s">
        <v>64</v>
      </c>
      <c r="H151">
        <v>3</v>
      </c>
      <c r="I151">
        <v>65.61</v>
      </c>
      <c r="J151">
        <v>0</v>
      </c>
      <c r="K151">
        <v>196.83</v>
      </c>
      <c r="L151">
        <v>53.06</v>
      </c>
      <c r="M151">
        <v>159.18</v>
      </c>
      <c r="N151">
        <v>41</v>
      </c>
      <c r="O151" t="s">
        <v>19</v>
      </c>
      <c r="P151" t="s">
        <v>81</v>
      </c>
    </row>
    <row r="152" spans="1:16">
      <c r="A152">
        <v>101102</v>
      </c>
      <c r="B152" s="4">
        <v>45284</v>
      </c>
      <c r="C152" t="s">
        <v>203</v>
      </c>
      <c r="D152" t="s">
        <v>34</v>
      </c>
      <c r="E152" t="s">
        <v>30</v>
      </c>
      <c r="F152" t="s">
        <v>1238</v>
      </c>
      <c r="G152" t="s">
        <v>31</v>
      </c>
      <c r="H152">
        <v>3</v>
      </c>
      <c r="I152">
        <v>62.34</v>
      </c>
      <c r="J152">
        <v>5</v>
      </c>
      <c r="K152">
        <v>177.67</v>
      </c>
      <c r="L152">
        <v>80.61</v>
      </c>
      <c r="M152">
        <v>241.82999999999998</v>
      </c>
      <c r="N152">
        <v>16</v>
      </c>
      <c r="O152" t="s">
        <v>19</v>
      </c>
      <c r="P152" t="s">
        <v>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A1:AM1318"/>
  <sheetViews>
    <sheetView zoomScale="70" zoomScaleNormal="70" workbookViewId="0">
      <selection activeCell="A6" sqref="A6"/>
    </sheetView>
  </sheetViews>
  <sheetFormatPr defaultRowHeight="14.25"/>
  <cols>
    <col min="1" max="1" width="20.25" style="1" bestFit="1" customWidth="1"/>
    <col min="2" max="2" width="22.125" style="1" bestFit="1" customWidth="1"/>
    <col min="3" max="3" width="7.625" style="6" bestFit="1" customWidth="1"/>
    <col min="4" max="4" width="7.25" style="6" bestFit="1" customWidth="1"/>
    <col min="5" max="5" width="11.75" style="6" bestFit="1" customWidth="1"/>
    <col min="6" max="6" width="13.375" style="6" bestFit="1" customWidth="1"/>
    <col min="7" max="7" width="12.375" style="1" bestFit="1" customWidth="1"/>
    <col min="8" max="8" width="21.875" style="1" bestFit="1" customWidth="1"/>
    <col min="9" max="9" width="20.25" style="1" bestFit="1" customWidth="1"/>
    <col min="10" max="10" width="16.625" style="1" bestFit="1" customWidth="1"/>
    <col min="11" max="11" width="18.75" style="1" bestFit="1" customWidth="1"/>
    <col min="12" max="12" width="21.25" style="1" bestFit="1" customWidth="1"/>
    <col min="13" max="13" width="28" style="1" bestFit="1" customWidth="1"/>
    <col min="14" max="15" width="31" style="1" bestFit="1" customWidth="1"/>
    <col min="16" max="16" width="18.75" style="1" bestFit="1" customWidth="1"/>
    <col min="17" max="17" width="20.875" style="1" bestFit="1" customWidth="1"/>
    <col min="18" max="18" width="31" style="1" bestFit="1" customWidth="1"/>
    <col min="19" max="19" width="14.75" style="1" bestFit="1" customWidth="1"/>
    <col min="20" max="20" width="31" style="1" bestFit="1" customWidth="1"/>
    <col min="21" max="21" width="18.75" style="1" bestFit="1" customWidth="1"/>
    <col min="22" max="22" width="14.75" style="1" bestFit="1" customWidth="1"/>
    <col min="23" max="23" width="16.125" style="1" customWidth="1"/>
    <col min="24" max="25" width="31" style="1" bestFit="1" customWidth="1"/>
    <col min="26" max="26" width="27.375" style="1" bestFit="1" customWidth="1"/>
    <col min="27" max="27" width="20.875" style="1" bestFit="1" customWidth="1"/>
    <col min="28" max="28" width="15.125" style="1" bestFit="1" customWidth="1"/>
    <col min="29" max="29" width="14.75" style="1" bestFit="1" customWidth="1"/>
    <col min="30" max="30" width="6.375" style="1" customWidth="1"/>
    <col min="31" max="31" width="31" style="1" bestFit="1" customWidth="1"/>
    <col min="32" max="32" width="18.75" style="1" bestFit="1" customWidth="1"/>
    <col min="33" max="33" width="14.75" style="1" bestFit="1" customWidth="1"/>
    <col min="34" max="34" width="20.875" style="1" bestFit="1" customWidth="1"/>
    <col min="35" max="36" width="31" style="1" bestFit="1" customWidth="1"/>
    <col min="37" max="37" width="26.5" style="1" bestFit="1" customWidth="1"/>
    <col min="38" max="38" width="26.75" style="1" bestFit="1" customWidth="1"/>
    <col min="39" max="39" width="22.375" style="1" bestFit="1" customWidth="1"/>
    <col min="40" max="16384" width="9" style="1"/>
  </cols>
  <sheetData>
    <row r="1" spans="1:35" ht="15" thickBot="1"/>
    <row r="2" spans="1:35" ht="28.5" thickBot="1">
      <c r="A2" s="41" t="s">
        <v>1254</v>
      </c>
      <c r="B2" s="42"/>
      <c r="C2" s="42"/>
      <c r="D2" s="42"/>
      <c r="E2" s="42"/>
      <c r="F2" s="42"/>
      <c r="G2" s="42"/>
      <c r="H2" s="42"/>
      <c r="I2" s="42"/>
      <c r="J2" s="42"/>
      <c r="K2" s="42"/>
      <c r="L2" s="42"/>
      <c r="M2" s="42"/>
      <c r="N2" s="43"/>
      <c r="P2" s="41" t="s">
        <v>1253</v>
      </c>
      <c r="Q2" s="42"/>
      <c r="R2" s="42"/>
      <c r="S2" s="43"/>
      <c r="U2" s="41" t="s">
        <v>1255</v>
      </c>
      <c r="V2" s="42"/>
      <c r="W2" s="42"/>
      <c r="X2" s="43"/>
      <c r="Z2" s="41" t="s">
        <v>1256</v>
      </c>
      <c r="AA2" s="42"/>
      <c r="AB2" s="42"/>
      <c r="AC2" s="42"/>
      <c r="AD2" s="43"/>
      <c r="AF2" s="41" t="s">
        <v>1257</v>
      </c>
      <c r="AG2" s="42"/>
      <c r="AH2" s="42"/>
      <c r="AI2" s="43"/>
    </row>
    <row r="4" spans="1:35">
      <c r="A4" s="7" t="s">
        <v>1244</v>
      </c>
      <c r="B4" s="7" t="s">
        <v>1258</v>
      </c>
      <c r="C4" s="1"/>
      <c r="D4" s="1"/>
      <c r="E4" s="1"/>
      <c r="F4" s="1"/>
      <c r="H4" s="7" t="s">
        <v>1259</v>
      </c>
      <c r="I4" s="1" t="s">
        <v>1244</v>
      </c>
      <c r="K4" s="7" t="s">
        <v>1242</v>
      </c>
      <c r="L4" s="1" t="s">
        <v>1263</v>
      </c>
      <c r="M4" s="1" t="s">
        <v>1262</v>
      </c>
      <c r="N4"/>
      <c r="P4" s="7" t="s">
        <v>1242</v>
      </c>
      <c r="Q4" s="1" t="s">
        <v>1263</v>
      </c>
      <c r="R4"/>
      <c r="S4" s="1" t="s">
        <v>1263</v>
      </c>
      <c r="T4"/>
      <c r="U4" s="7" t="s">
        <v>1242</v>
      </c>
      <c r="V4" s="1" t="s">
        <v>1262</v>
      </c>
      <c r="W4"/>
      <c r="Z4" s="7" t="s">
        <v>1242</v>
      </c>
      <c r="AA4" s="1" t="s">
        <v>1262</v>
      </c>
      <c r="AB4"/>
      <c r="AC4"/>
      <c r="AD4"/>
      <c r="AF4" s="7" t="s">
        <v>1242</v>
      </c>
      <c r="AG4" s="1" t="s">
        <v>1263</v>
      </c>
      <c r="AH4" s="1" t="s">
        <v>1262</v>
      </c>
    </row>
    <row r="5" spans="1:35" ht="15.75">
      <c r="A5" s="7" t="s">
        <v>1242</v>
      </c>
      <c r="B5" s="1" t="s">
        <v>18</v>
      </c>
      <c r="C5" s="1" t="s">
        <v>48</v>
      </c>
      <c r="D5" s="1" t="s">
        <v>31</v>
      </c>
      <c r="E5" s="1" t="s">
        <v>64</v>
      </c>
      <c r="F5" s="1" t="s">
        <v>1243</v>
      </c>
      <c r="H5" s="1" t="s">
        <v>18</v>
      </c>
      <c r="I5" s="8">
        <v>0.45098591549295775</v>
      </c>
      <c r="K5" s="1" t="s">
        <v>68</v>
      </c>
      <c r="L5" s="9">
        <v>9218.4199999999983</v>
      </c>
      <c r="M5" s="9">
        <v>31599.08</v>
      </c>
      <c r="N5"/>
      <c r="P5" s="1" t="s">
        <v>1237</v>
      </c>
      <c r="Q5" s="9">
        <v>25519.30999999999</v>
      </c>
      <c r="R5"/>
      <c r="S5" s="9">
        <v>85069.85000000002</v>
      </c>
      <c r="T5"/>
      <c r="U5" s="1" t="s">
        <v>1245</v>
      </c>
      <c r="V5" s="9">
        <v>107348.43000000001</v>
      </c>
      <c r="W5"/>
      <c r="Z5" s="1" t="s">
        <v>30</v>
      </c>
      <c r="AA5" s="9">
        <v>30994.469999999998</v>
      </c>
      <c r="AB5"/>
      <c r="AC5" s="11"/>
      <c r="AD5"/>
      <c r="AF5" s="1" t="s">
        <v>1237</v>
      </c>
      <c r="AG5" s="9">
        <v>25519.30999999999</v>
      </c>
      <c r="AH5" s="9">
        <v>86027.88</v>
      </c>
    </row>
    <row r="6" spans="1:35" ht="15.75">
      <c r="A6" s="1" t="s">
        <v>1245</v>
      </c>
      <c r="B6" s="9">
        <v>555</v>
      </c>
      <c r="C6" s="9">
        <v>159</v>
      </c>
      <c r="D6" s="9">
        <v>506</v>
      </c>
      <c r="E6" s="9">
        <v>95</v>
      </c>
      <c r="F6" s="9">
        <v>1315</v>
      </c>
      <c r="H6" s="1" t="s">
        <v>31</v>
      </c>
      <c r="I6" s="8">
        <v>0.35577464788732394</v>
      </c>
      <c r="K6" s="1" t="s">
        <v>70</v>
      </c>
      <c r="L6" s="9">
        <v>8876.3200000000033</v>
      </c>
      <c r="M6" s="9">
        <v>30192.089999999997</v>
      </c>
      <c r="N6"/>
      <c r="P6" s="1" t="s">
        <v>1241</v>
      </c>
      <c r="Q6" s="9">
        <v>24051.610000000015</v>
      </c>
      <c r="R6"/>
      <c r="U6" s="2" t="s">
        <v>1267</v>
      </c>
      <c r="V6" s="9">
        <v>8841.15</v>
      </c>
      <c r="W6"/>
      <c r="Z6" s="1" t="s">
        <v>56</v>
      </c>
      <c r="AA6" s="9">
        <v>3971.5299999999997</v>
      </c>
      <c r="AB6"/>
      <c r="AC6"/>
      <c r="AD6" s="12"/>
      <c r="AF6" s="1" t="s">
        <v>1241</v>
      </c>
      <c r="AG6" s="9">
        <v>24051.610000000015</v>
      </c>
      <c r="AH6" s="9">
        <v>81724.559999999969</v>
      </c>
    </row>
    <row r="7" spans="1:35" ht="15.75">
      <c r="A7" s="1" t="s">
        <v>1246</v>
      </c>
      <c r="B7" s="9">
        <v>634</v>
      </c>
      <c r="C7" s="9">
        <v>147</v>
      </c>
      <c r="D7" s="9">
        <v>438</v>
      </c>
      <c r="E7" s="9">
        <v>94</v>
      </c>
      <c r="F7" s="9">
        <v>1313</v>
      </c>
      <c r="H7" s="1" t="s">
        <v>48</v>
      </c>
      <c r="I7" s="8">
        <v>0.12028169014084507</v>
      </c>
      <c r="K7" s="1" t="s">
        <v>42</v>
      </c>
      <c r="L7" s="9">
        <v>8086.74</v>
      </c>
      <c r="M7" s="9">
        <v>27178.44999999999</v>
      </c>
      <c r="N7"/>
      <c r="P7" s="1" t="s">
        <v>1239</v>
      </c>
      <c r="Q7" s="9">
        <v>9846.8499999999985</v>
      </c>
      <c r="R7"/>
      <c r="U7" s="2" t="s">
        <v>1268</v>
      </c>
      <c r="V7" s="9">
        <v>4211.32</v>
      </c>
      <c r="W7"/>
      <c r="Z7" s="1" t="s">
        <v>34</v>
      </c>
      <c r="AA7" s="9">
        <v>10172.119999999999</v>
      </c>
      <c r="AB7"/>
      <c r="AC7"/>
      <c r="AD7" s="12"/>
      <c r="AF7" s="1" t="s">
        <v>1239</v>
      </c>
      <c r="AG7" s="9">
        <v>9846.8499999999985</v>
      </c>
      <c r="AH7" s="9">
        <v>32966.340000000004</v>
      </c>
    </row>
    <row r="8" spans="1:35" ht="15.75">
      <c r="A8" s="1" t="s">
        <v>1247</v>
      </c>
      <c r="B8" s="9">
        <v>412</v>
      </c>
      <c r="C8" s="9">
        <v>121</v>
      </c>
      <c r="D8" s="9">
        <v>319</v>
      </c>
      <c r="E8" s="9">
        <v>70</v>
      </c>
      <c r="F8" s="9">
        <v>922</v>
      </c>
      <c r="H8" s="1" t="s">
        <v>64</v>
      </c>
      <c r="I8" s="8">
        <v>7.2957746478873237E-2</v>
      </c>
      <c r="K8" s="1" t="s">
        <v>62</v>
      </c>
      <c r="L8" s="9">
        <v>7687.4</v>
      </c>
      <c r="M8" s="9">
        <v>27720.090000000015</v>
      </c>
      <c r="N8"/>
      <c r="P8" s="1" t="s">
        <v>1240</v>
      </c>
      <c r="Q8" s="9">
        <v>5248.5199999999995</v>
      </c>
      <c r="R8"/>
      <c r="U8" s="2" t="s">
        <v>1269</v>
      </c>
      <c r="V8" s="9">
        <v>7985.01</v>
      </c>
      <c r="W8"/>
      <c r="Z8" s="1" t="s">
        <v>29</v>
      </c>
      <c r="AA8" s="9">
        <v>3339.7099999999996</v>
      </c>
      <c r="AB8"/>
      <c r="AC8"/>
      <c r="AD8" s="12"/>
      <c r="AF8" s="1" t="s">
        <v>1240</v>
      </c>
      <c r="AG8" s="9">
        <v>5248.5199999999995</v>
      </c>
      <c r="AH8" s="9">
        <v>17601.979999999996</v>
      </c>
    </row>
    <row r="9" spans="1:35" ht="15.75">
      <c r="A9" s="1" t="s">
        <v>1243</v>
      </c>
      <c r="B9" s="9">
        <v>1601</v>
      </c>
      <c r="C9" s="9">
        <v>427</v>
      </c>
      <c r="D9" s="9">
        <v>1263</v>
      </c>
      <c r="E9" s="9">
        <v>259</v>
      </c>
      <c r="F9" s="9">
        <v>3550</v>
      </c>
      <c r="H9" s="1" t="s">
        <v>1243</v>
      </c>
      <c r="I9" s="8">
        <v>1</v>
      </c>
      <c r="K9" s="1" t="s">
        <v>39</v>
      </c>
      <c r="L9" s="9">
        <v>7680.8199999999988</v>
      </c>
      <c r="M9" s="9">
        <v>25555.620000000006</v>
      </c>
      <c r="N9"/>
      <c r="P9" s="1" t="s">
        <v>1238</v>
      </c>
      <c r="Q9" s="9">
        <v>20403.559999999994</v>
      </c>
      <c r="R9"/>
      <c r="U9" s="2" t="s">
        <v>1270</v>
      </c>
      <c r="V9" s="9">
        <v>12515.289999999999</v>
      </c>
      <c r="W9"/>
      <c r="Z9" s="1" t="s">
        <v>77</v>
      </c>
      <c r="AA9" s="9">
        <v>6956.86</v>
      </c>
      <c r="AB9"/>
      <c r="AC9"/>
      <c r="AD9" s="12"/>
      <c r="AF9" s="1" t="s">
        <v>1238</v>
      </c>
      <c r="AG9" s="9">
        <v>20403.559999999994</v>
      </c>
      <c r="AH9" s="9">
        <v>69057.16</v>
      </c>
    </row>
    <row r="10" spans="1:35" ht="15.75">
      <c r="A10"/>
      <c r="B10"/>
      <c r="C10"/>
      <c r="D10"/>
      <c r="E10"/>
      <c r="F10"/>
      <c r="K10" s="1" t="s">
        <v>66</v>
      </c>
      <c r="L10" s="9">
        <v>7070.0999999999985</v>
      </c>
      <c r="M10" s="9">
        <v>24288.029999999995</v>
      </c>
      <c r="N10"/>
      <c r="P10" s="1" t="s">
        <v>1243</v>
      </c>
      <c r="Q10" s="9">
        <v>85069.849999999991</v>
      </c>
      <c r="R10"/>
      <c r="U10" s="2" t="s">
        <v>1271</v>
      </c>
      <c r="V10" s="9">
        <v>9064.7899999999991</v>
      </c>
      <c r="W10"/>
      <c r="Z10" s="1" t="s">
        <v>45</v>
      </c>
      <c r="AA10" s="9">
        <v>2581.6100000000006</v>
      </c>
      <c r="AB10"/>
      <c r="AC10"/>
      <c r="AD10" s="12"/>
      <c r="AF10" s="1" t="s">
        <v>1243</v>
      </c>
      <c r="AG10" s="9">
        <v>85069.849999999991</v>
      </c>
      <c r="AH10" s="9">
        <v>287377.91999999993</v>
      </c>
    </row>
    <row r="11" spans="1:35" ht="15.75">
      <c r="A11"/>
      <c r="B11"/>
      <c r="C11"/>
      <c r="D11"/>
      <c r="E11"/>
      <c r="F11"/>
      <c r="K11" s="1" t="s">
        <v>100</v>
      </c>
      <c r="L11" s="9">
        <v>5832.62</v>
      </c>
      <c r="M11" s="9">
        <v>19746.080000000002</v>
      </c>
      <c r="N11"/>
      <c r="P11"/>
      <c r="Q11"/>
      <c r="R11"/>
      <c r="U11" s="2" t="s">
        <v>1272</v>
      </c>
      <c r="V11" s="9">
        <v>7146.25</v>
      </c>
      <c r="W11"/>
      <c r="Z11" s="1" t="s">
        <v>53</v>
      </c>
      <c r="AA11" s="9">
        <v>3972.639999999999</v>
      </c>
      <c r="AB11"/>
      <c r="AC11"/>
      <c r="AD11" s="12"/>
    </row>
    <row r="12" spans="1:35" ht="15.75">
      <c r="A12"/>
      <c r="B12"/>
      <c r="C12"/>
      <c r="D12"/>
      <c r="E12"/>
      <c r="F12"/>
      <c r="K12" s="1" t="s">
        <v>24</v>
      </c>
      <c r="L12" s="9">
        <v>5727.720000000003</v>
      </c>
      <c r="M12" s="9">
        <v>19507.310000000009</v>
      </c>
      <c r="N12"/>
      <c r="P12"/>
      <c r="Q12"/>
      <c r="R12"/>
      <c r="U12" s="2" t="s">
        <v>1264</v>
      </c>
      <c r="V12" s="9">
        <v>8782.35</v>
      </c>
      <c r="W12"/>
      <c r="Z12" s="1" t="s">
        <v>17</v>
      </c>
      <c r="AA12" s="9">
        <v>77377.830000000016</v>
      </c>
      <c r="AB12"/>
      <c r="AC12" s="11"/>
      <c r="AD12"/>
    </row>
    <row r="13" spans="1:35" ht="15.75">
      <c r="A13"/>
      <c r="B13"/>
      <c r="C13"/>
      <c r="D13"/>
      <c r="E13"/>
      <c r="F13"/>
      <c r="K13" s="1" t="s">
        <v>87</v>
      </c>
      <c r="L13" s="9">
        <v>5661.5700000000033</v>
      </c>
      <c r="M13" s="9">
        <v>19473.910000000003</v>
      </c>
      <c r="N13"/>
      <c r="P13"/>
      <c r="Q13"/>
      <c r="R13"/>
      <c r="U13" s="2" t="s">
        <v>1265</v>
      </c>
      <c r="V13" s="9">
        <v>8107.3900000000021</v>
      </c>
      <c r="W13"/>
      <c r="Z13" s="1" t="s">
        <v>37</v>
      </c>
      <c r="AA13" s="9">
        <v>10080.65</v>
      </c>
      <c r="AB13"/>
      <c r="AC13"/>
      <c r="AD13" s="12"/>
    </row>
    <row r="14" spans="1:35" ht="15.75">
      <c r="A14"/>
      <c r="B14"/>
      <c r="C14"/>
      <c r="D14"/>
      <c r="E14"/>
      <c r="F14"/>
      <c r="K14" s="1" t="s">
        <v>34</v>
      </c>
      <c r="L14" s="9">
        <v>3354.68</v>
      </c>
      <c r="M14" s="9">
        <v>10172.119999999999</v>
      </c>
      <c r="P14"/>
      <c r="Q14"/>
      <c r="R14"/>
      <c r="U14" s="2" t="s">
        <v>1266</v>
      </c>
      <c r="V14" s="9">
        <v>9372.6099999999969</v>
      </c>
      <c r="W14"/>
      <c r="Z14" s="1" t="s">
        <v>22</v>
      </c>
      <c r="AA14" s="9">
        <v>3033.2400000000016</v>
      </c>
      <c r="AB14"/>
      <c r="AC14"/>
      <c r="AD14" s="12"/>
    </row>
    <row r="15" spans="1:35" ht="15.75">
      <c r="A15"/>
      <c r="B15"/>
      <c r="C15"/>
      <c r="D15"/>
      <c r="E15"/>
      <c r="F15"/>
      <c r="K15" s="1" t="s">
        <v>1243</v>
      </c>
      <c r="L15" s="9">
        <v>69196.390000000014</v>
      </c>
      <c r="M15" s="9">
        <v>235432.78</v>
      </c>
      <c r="P15"/>
      <c r="Q15"/>
      <c r="R15"/>
      <c r="U15" s="2" t="s">
        <v>1273</v>
      </c>
      <c r="V15" s="9">
        <v>12775.49</v>
      </c>
      <c r="W15"/>
      <c r="Z15" s="1" t="s">
        <v>62</v>
      </c>
      <c r="AA15" s="9">
        <v>27720.090000000015</v>
      </c>
      <c r="AB15"/>
      <c r="AC15"/>
      <c r="AD15" s="12"/>
    </row>
    <row r="16" spans="1:35" ht="15.75">
      <c r="A16"/>
      <c r="B16"/>
      <c r="C16"/>
      <c r="D16"/>
      <c r="E16"/>
      <c r="F16"/>
      <c r="K16"/>
      <c r="L16"/>
      <c r="M16"/>
      <c r="P16"/>
      <c r="Q16"/>
      <c r="R16"/>
      <c r="U16" s="2" t="s">
        <v>1274</v>
      </c>
      <c r="V16" s="9">
        <v>8672.510000000002</v>
      </c>
      <c r="W16"/>
      <c r="Z16" s="1" t="s">
        <v>16</v>
      </c>
      <c r="AA16" s="9">
        <v>7427.3499999999976</v>
      </c>
      <c r="AB16"/>
      <c r="AC16"/>
      <c r="AD16" s="12"/>
    </row>
    <row r="17" spans="1:30" ht="15.75">
      <c r="A17"/>
      <c r="B17"/>
      <c r="C17"/>
      <c r="D17"/>
      <c r="E17"/>
      <c r="F17"/>
      <c r="H17" s="1" t="s">
        <v>1260</v>
      </c>
      <c r="K17"/>
      <c r="L17"/>
      <c r="M17"/>
      <c r="P17"/>
      <c r="Q17"/>
      <c r="R17"/>
      <c r="U17" s="2" t="s">
        <v>1275</v>
      </c>
      <c r="V17" s="9">
        <v>9874.27</v>
      </c>
      <c r="W17"/>
      <c r="Z17" s="1" t="s">
        <v>59</v>
      </c>
      <c r="AA17" s="9">
        <v>4828.4700000000012</v>
      </c>
      <c r="AB17"/>
      <c r="AC17"/>
      <c r="AD17" s="12"/>
    </row>
    <row r="18" spans="1:30" ht="15.75">
      <c r="A18"/>
      <c r="B18"/>
      <c r="C18"/>
      <c r="D18"/>
      <c r="E18"/>
      <c r="F18"/>
      <c r="H18" s="9">
        <v>3550</v>
      </c>
      <c r="K18"/>
      <c r="L18"/>
      <c r="M18"/>
      <c r="P18"/>
      <c r="Q18"/>
      <c r="R18"/>
      <c r="U18" s="1" t="s">
        <v>1246</v>
      </c>
      <c r="V18" s="9">
        <v>103229.74999999999</v>
      </c>
      <c r="W18"/>
      <c r="Z18" s="1" t="s">
        <v>66</v>
      </c>
      <c r="AA18" s="9">
        <v>24288.029999999995</v>
      </c>
      <c r="AB18"/>
      <c r="AC18"/>
      <c r="AD18" s="12"/>
    </row>
    <row r="19" spans="1:30" ht="15.75">
      <c r="A19"/>
      <c r="B19"/>
      <c r="C19"/>
      <c r="D19"/>
      <c r="E19"/>
      <c r="F19"/>
      <c r="K19"/>
      <c r="L19"/>
      <c r="M19"/>
      <c r="P19"/>
      <c r="Q19"/>
      <c r="R19"/>
      <c r="U19" s="2" t="s">
        <v>1267</v>
      </c>
      <c r="V19" s="9">
        <v>10026.959999999999</v>
      </c>
      <c r="W19"/>
      <c r="Z19" s="1" t="s">
        <v>25</v>
      </c>
      <c r="AA19" s="9">
        <v>179005.62</v>
      </c>
      <c r="AB19"/>
      <c r="AC19" s="11"/>
    </row>
    <row r="20" spans="1:30" ht="15.75">
      <c r="A20"/>
      <c r="B20"/>
      <c r="C20"/>
      <c r="D20"/>
      <c r="E20"/>
      <c r="F20"/>
      <c r="H20" s="1" t="s">
        <v>1262</v>
      </c>
      <c r="I20"/>
      <c r="J20"/>
      <c r="K20"/>
      <c r="L20"/>
      <c r="M20"/>
      <c r="P20"/>
      <c r="Q20"/>
      <c r="R20"/>
      <c r="U20" s="2" t="s">
        <v>1268</v>
      </c>
      <c r="V20" s="9">
        <v>6106.71</v>
      </c>
      <c r="W20"/>
      <c r="Z20" s="1" t="s">
        <v>73</v>
      </c>
      <c r="AA20" s="9">
        <v>5753.0799999999981</v>
      </c>
      <c r="AB20"/>
      <c r="AC20"/>
      <c r="AD20" s="12"/>
    </row>
    <row r="21" spans="1:30" ht="15.75">
      <c r="A21"/>
      <c r="B21"/>
      <c r="C21"/>
      <c r="D21"/>
      <c r="E21"/>
      <c r="F21"/>
      <c r="H21" s="9">
        <v>287377.92000000022</v>
      </c>
      <c r="I21"/>
      <c r="J21"/>
      <c r="K21"/>
      <c r="L21"/>
      <c r="M21"/>
      <c r="P21"/>
      <c r="Q21"/>
      <c r="R21"/>
      <c r="U21" s="2" t="s">
        <v>1269</v>
      </c>
      <c r="V21" s="9">
        <v>12667.479999999996</v>
      </c>
      <c r="W21"/>
      <c r="Z21" s="1" t="s">
        <v>42</v>
      </c>
      <c r="AA21" s="9">
        <v>27178.44999999999</v>
      </c>
      <c r="AB21"/>
      <c r="AC21"/>
      <c r="AD21" s="12"/>
    </row>
    <row r="22" spans="1:30" ht="15.75">
      <c r="A22"/>
      <c r="B22"/>
      <c r="C22"/>
      <c r="D22"/>
      <c r="E22"/>
      <c r="F22"/>
      <c r="H22"/>
      <c r="I22"/>
      <c r="J22"/>
      <c r="K22"/>
      <c r="L22"/>
      <c r="M22"/>
      <c r="P22"/>
      <c r="Q22"/>
      <c r="R22"/>
      <c r="U22" s="2" t="s">
        <v>1270</v>
      </c>
      <c r="V22" s="9">
        <v>5660.27</v>
      </c>
      <c r="W22"/>
      <c r="Z22" s="1" t="s">
        <v>100</v>
      </c>
      <c r="AA22" s="9">
        <v>19746.080000000002</v>
      </c>
      <c r="AB22"/>
      <c r="AC22"/>
      <c r="AD22" s="12"/>
    </row>
    <row r="23" spans="1:30" ht="15.75">
      <c r="A23"/>
      <c r="B23"/>
      <c r="C23"/>
      <c r="D23"/>
      <c r="E23"/>
      <c r="F23"/>
      <c r="H23"/>
      <c r="I23"/>
      <c r="J23"/>
      <c r="K23"/>
      <c r="L23"/>
      <c r="M23"/>
      <c r="P23"/>
      <c r="Q23"/>
      <c r="R23"/>
      <c r="U23" s="2" t="s">
        <v>1271</v>
      </c>
      <c r="V23" s="9">
        <v>11431.88</v>
      </c>
      <c r="W23"/>
      <c r="Z23" s="1" t="s">
        <v>68</v>
      </c>
      <c r="AA23" s="9">
        <v>31599.08</v>
      </c>
      <c r="AB23"/>
      <c r="AC23"/>
      <c r="AD23" s="12"/>
    </row>
    <row r="24" spans="1:30" ht="15.75">
      <c r="A24"/>
      <c r="B24"/>
      <c r="C24"/>
      <c r="D24"/>
      <c r="E24"/>
      <c r="F24"/>
      <c r="H24"/>
      <c r="I24"/>
      <c r="J24"/>
      <c r="K24"/>
      <c r="L24"/>
      <c r="M24"/>
      <c r="P24"/>
      <c r="Q24"/>
      <c r="R24"/>
      <c r="U24" s="2" t="s">
        <v>1272</v>
      </c>
      <c r="V24" s="9">
        <v>8589.02</v>
      </c>
      <c r="W24"/>
      <c r="Z24" s="1" t="s">
        <v>87</v>
      </c>
      <c r="AA24" s="9">
        <v>19473.910000000003</v>
      </c>
      <c r="AB24"/>
      <c r="AC24"/>
      <c r="AD24" s="12"/>
    </row>
    <row r="25" spans="1:30" ht="15.75">
      <c r="A25"/>
      <c r="B25"/>
      <c r="C25"/>
      <c r="D25"/>
      <c r="E25"/>
      <c r="F25"/>
      <c r="H25"/>
      <c r="I25"/>
      <c r="J25"/>
      <c r="K25"/>
      <c r="L25"/>
      <c r="M25"/>
      <c r="P25"/>
      <c r="Q25"/>
      <c r="R25"/>
      <c r="U25" s="2" t="s">
        <v>1264</v>
      </c>
      <c r="V25" s="9">
        <v>7167.1499999999987</v>
      </c>
      <c r="W25"/>
      <c r="Z25" s="1" t="s">
        <v>24</v>
      </c>
      <c r="AA25" s="9">
        <v>19507.310000000009</v>
      </c>
      <c r="AB25"/>
      <c r="AC25"/>
      <c r="AD25" s="12"/>
    </row>
    <row r="26" spans="1:30" ht="15.75">
      <c r="A26"/>
      <c r="B26"/>
      <c r="C26"/>
      <c r="D26"/>
      <c r="E26"/>
      <c r="F26"/>
      <c r="H26"/>
      <c r="I26"/>
      <c r="J26"/>
      <c r="K26"/>
      <c r="L26"/>
      <c r="M26"/>
      <c r="P26"/>
      <c r="Q26"/>
      <c r="R26"/>
      <c r="U26" s="2" t="s">
        <v>1265</v>
      </c>
      <c r="V26" s="9">
        <v>7369.3200000000015</v>
      </c>
      <c r="W26"/>
      <c r="Z26" s="1" t="s">
        <v>39</v>
      </c>
      <c r="AA26" s="9">
        <v>25555.620000000006</v>
      </c>
      <c r="AB26"/>
      <c r="AC26"/>
      <c r="AD26" s="12"/>
    </row>
    <row r="27" spans="1:30" ht="15.75">
      <c r="A27"/>
      <c r="B27"/>
      <c r="C27"/>
      <c r="D27"/>
      <c r="E27"/>
      <c r="F27"/>
      <c r="H27"/>
      <c r="I27"/>
      <c r="J27"/>
      <c r="K27"/>
      <c r="L27"/>
      <c r="M27"/>
      <c r="P27" s="7" t="s">
        <v>1242</v>
      </c>
      <c r="Q27" s="1" t="s">
        <v>1262</v>
      </c>
      <c r="R27"/>
      <c r="U27" s="2" t="s">
        <v>1266</v>
      </c>
      <c r="V27" s="9">
        <v>7961.6099999999988</v>
      </c>
      <c r="W27"/>
      <c r="Z27" s="1" t="s">
        <v>70</v>
      </c>
      <c r="AA27" s="9">
        <v>30192.089999999997</v>
      </c>
      <c r="AB27"/>
      <c r="AC27"/>
      <c r="AD27" s="12"/>
    </row>
    <row r="28" spans="1:30" ht="15.75">
      <c r="A28"/>
      <c r="B28"/>
      <c r="C28"/>
      <c r="D28"/>
      <c r="E28"/>
      <c r="F28"/>
      <c r="H28"/>
      <c r="I28"/>
      <c r="J28"/>
      <c r="K28"/>
      <c r="L28"/>
      <c r="M28"/>
      <c r="P28" s="1" t="s">
        <v>1237</v>
      </c>
      <c r="Q28" s="9">
        <v>86027.88</v>
      </c>
      <c r="R28"/>
      <c r="U28" s="2" t="s">
        <v>1273</v>
      </c>
      <c r="V28" s="9">
        <v>7454.29</v>
      </c>
      <c r="W28"/>
      <c r="Z28" s="1" t="s">
        <v>1243</v>
      </c>
      <c r="AA28" s="9">
        <v>287377.91999999998</v>
      </c>
      <c r="AB28"/>
      <c r="AC28" s="11"/>
    </row>
    <row r="29" spans="1:30">
      <c r="A29"/>
      <c r="B29"/>
      <c r="C29"/>
      <c r="D29"/>
      <c r="E29"/>
      <c r="F29"/>
      <c r="H29"/>
      <c r="I29"/>
      <c r="J29"/>
      <c r="K29"/>
      <c r="L29"/>
      <c r="M29"/>
      <c r="P29" s="1" t="s">
        <v>1241</v>
      </c>
      <c r="Q29" s="9">
        <v>81724.559999999969</v>
      </c>
      <c r="R29"/>
      <c r="U29" s="2" t="s">
        <v>1274</v>
      </c>
      <c r="V29" s="9">
        <v>7457.0300000000007</v>
      </c>
      <c r="W29"/>
      <c r="Z29"/>
      <c r="AA29"/>
      <c r="AB29"/>
      <c r="AC29"/>
    </row>
    <row r="30" spans="1:30">
      <c r="A30"/>
      <c r="B30"/>
      <c r="C30"/>
      <c r="D30"/>
      <c r="E30"/>
      <c r="F30"/>
      <c r="H30"/>
      <c r="I30"/>
      <c r="J30"/>
      <c r="K30"/>
      <c r="L30"/>
      <c r="M30"/>
      <c r="P30" s="1" t="s">
        <v>1239</v>
      </c>
      <c r="Q30" s="9">
        <v>32966.340000000004</v>
      </c>
      <c r="R30"/>
      <c r="U30" s="2" t="s">
        <v>1275</v>
      </c>
      <c r="V30" s="9">
        <v>11338.03</v>
      </c>
      <c r="W30"/>
      <c r="Z30"/>
      <c r="AA30"/>
      <c r="AB30"/>
      <c r="AC30"/>
    </row>
    <row r="31" spans="1:30">
      <c r="A31"/>
      <c r="B31"/>
      <c r="C31"/>
      <c r="D31"/>
      <c r="E31"/>
      <c r="F31"/>
      <c r="H31"/>
      <c r="I31"/>
      <c r="J31"/>
      <c r="K31"/>
      <c r="L31"/>
      <c r="M31"/>
      <c r="P31" s="1" t="s">
        <v>1240</v>
      </c>
      <c r="Q31" s="9">
        <v>17601.979999999996</v>
      </c>
      <c r="R31"/>
      <c r="U31" s="1" t="s">
        <v>1247</v>
      </c>
      <c r="V31" s="9">
        <v>76799.739999999991</v>
      </c>
      <c r="W31"/>
      <c r="Z31"/>
      <c r="AA31"/>
      <c r="AB31"/>
      <c r="AC31"/>
    </row>
    <row r="32" spans="1:30">
      <c r="A32"/>
      <c r="B32"/>
      <c r="C32"/>
      <c r="D32"/>
      <c r="E32"/>
      <c r="F32"/>
      <c r="H32"/>
      <c r="I32"/>
      <c r="J32"/>
      <c r="K32"/>
      <c r="L32"/>
      <c r="M32"/>
      <c r="P32" s="1" t="s">
        <v>1238</v>
      </c>
      <c r="Q32" s="9">
        <v>69057.16</v>
      </c>
      <c r="R32"/>
      <c r="U32" s="2" t="s">
        <v>1267</v>
      </c>
      <c r="V32" s="9">
        <v>7163.28</v>
      </c>
      <c r="W32"/>
      <c r="Z32"/>
      <c r="AA32"/>
      <c r="AB32"/>
      <c r="AC32"/>
    </row>
    <row r="33" spans="1:29">
      <c r="A33"/>
      <c r="B33"/>
      <c r="C33"/>
      <c r="D33"/>
      <c r="E33"/>
      <c r="F33"/>
      <c r="H33"/>
      <c r="I33"/>
      <c r="J33"/>
      <c r="K33"/>
      <c r="L33"/>
      <c r="M33"/>
      <c r="P33" s="1" t="s">
        <v>1243</v>
      </c>
      <c r="Q33" s="9">
        <v>287377.91999999993</v>
      </c>
      <c r="R33"/>
      <c r="U33" s="2" t="s">
        <v>1268</v>
      </c>
      <c r="V33" s="9">
        <v>8547.43</v>
      </c>
      <c r="W33"/>
      <c r="Z33"/>
      <c r="AA33"/>
      <c r="AB33"/>
      <c r="AC33"/>
    </row>
    <row r="34" spans="1:29">
      <c r="A34"/>
      <c r="B34"/>
      <c r="C34"/>
      <c r="D34"/>
      <c r="E34"/>
      <c r="F34"/>
      <c r="H34"/>
      <c r="I34"/>
      <c r="J34"/>
      <c r="K34"/>
      <c r="L34"/>
      <c r="M34"/>
      <c r="P34"/>
      <c r="Q34"/>
      <c r="R34"/>
      <c r="U34" s="2" t="s">
        <v>1269</v>
      </c>
      <c r="V34" s="9">
        <v>8990.6799999999985</v>
      </c>
      <c r="W34"/>
      <c r="Z34"/>
      <c r="AA34"/>
      <c r="AB34"/>
      <c r="AC34"/>
    </row>
    <row r="35" spans="1:29">
      <c r="A35"/>
      <c r="B35"/>
      <c r="C35"/>
      <c r="D35"/>
      <c r="E35"/>
      <c r="F35"/>
      <c r="H35"/>
      <c r="I35"/>
      <c r="J35"/>
      <c r="K35"/>
      <c r="L35"/>
      <c r="M35"/>
      <c r="P35"/>
      <c r="Q35"/>
      <c r="R35"/>
      <c r="U35" s="2" t="s">
        <v>1270</v>
      </c>
      <c r="V35" s="9">
        <v>7592.3999999999987</v>
      </c>
      <c r="W35"/>
      <c r="Z35"/>
      <c r="AA35"/>
      <c r="AB35"/>
      <c r="AC35"/>
    </row>
    <row r="36" spans="1:29">
      <c r="A36"/>
      <c r="B36"/>
      <c r="C36"/>
      <c r="D36"/>
      <c r="E36"/>
      <c r="F36"/>
      <c r="H36"/>
      <c r="I36"/>
      <c r="J36"/>
      <c r="K36"/>
      <c r="L36"/>
      <c r="M36"/>
      <c r="P36"/>
      <c r="Q36"/>
      <c r="R36"/>
      <c r="U36" s="2" t="s">
        <v>1271</v>
      </c>
      <c r="V36" s="9">
        <v>9179.5999999999967</v>
      </c>
      <c r="W36"/>
      <c r="Z36"/>
      <c r="AA36"/>
      <c r="AB36"/>
      <c r="AC36"/>
    </row>
    <row r="37" spans="1:29">
      <c r="A37"/>
      <c r="B37"/>
      <c r="C37"/>
      <c r="D37"/>
      <c r="E37"/>
      <c r="F37"/>
      <c r="H37"/>
      <c r="I37"/>
      <c r="J37"/>
      <c r="K37"/>
      <c r="L37"/>
      <c r="M37"/>
      <c r="P37"/>
      <c r="Q37"/>
      <c r="R37"/>
      <c r="U37" s="2" t="s">
        <v>1272</v>
      </c>
      <c r="V37" s="9">
        <v>9746.06</v>
      </c>
      <c r="W37"/>
      <c r="Z37"/>
      <c r="AA37"/>
      <c r="AB37"/>
      <c r="AC37"/>
    </row>
    <row r="38" spans="1:29">
      <c r="A38"/>
      <c r="B38"/>
      <c r="C38"/>
      <c r="D38"/>
      <c r="E38"/>
      <c r="F38"/>
      <c r="K38"/>
      <c r="L38"/>
      <c r="M38"/>
      <c r="P38"/>
      <c r="Q38"/>
      <c r="R38"/>
      <c r="U38" s="2" t="s">
        <v>1264</v>
      </c>
      <c r="V38" s="9">
        <v>6539.3200000000015</v>
      </c>
      <c r="W38"/>
      <c r="Z38"/>
      <c r="AA38"/>
      <c r="AB38"/>
      <c r="AC38"/>
    </row>
    <row r="39" spans="1:29">
      <c r="A39"/>
      <c r="B39"/>
      <c r="C39"/>
      <c r="D39"/>
      <c r="E39"/>
      <c r="F39"/>
      <c r="P39"/>
      <c r="Q39"/>
      <c r="R39"/>
      <c r="U39" s="2" t="s">
        <v>1265</v>
      </c>
      <c r="V39" s="9">
        <v>8158.16</v>
      </c>
      <c r="W39"/>
      <c r="Z39"/>
      <c r="AA39"/>
      <c r="AB39"/>
      <c r="AC39"/>
    </row>
    <row r="40" spans="1:29">
      <c r="A40"/>
      <c r="B40"/>
      <c r="C40"/>
      <c r="D40"/>
      <c r="E40"/>
      <c r="F40"/>
      <c r="P40"/>
      <c r="Q40"/>
      <c r="R40"/>
      <c r="U40" s="2" t="s">
        <v>1266</v>
      </c>
      <c r="V40" s="9">
        <v>10882.809999999998</v>
      </c>
      <c r="W40"/>
      <c r="Z40"/>
      <c r="AA40"/>
      <c r="AB40"/>
      <c r="AC40"/>
    </row>
    <row r="41" spans="1:29">
      <c r="A41"/>
      <c r="B41"/>
      <c r="C41"/>
      <c r="D41"/>
      <c r="E41"/>
      <c r="F41"/>
      <c r="P41"/>
      <c r="Q41"/>
      <c r="R41"/>
      <c r="U41" s="1" t="s">
        <v>1243</v>
      </c>
      <c r="V41" s="9">
        <v>287377.91999999993</v>
      </c>
      <c r="W41"/>
      <c r="Z41"/>
      <c r="AA41"/>
      <c r="AB41"/>
      <c r="AC41"/>
    </row>
    <row r="42" spans="1:29">
      <c r="A42"/>
      <c r="B42"/>
      <c r="C42"/>
      <c r="D42"/>
      <c r="E42"/>
      <c r="F42"/>
      <c r="P42"/>
      <c r="Q42"/>
      <c r="R42"/>
      <c r="U42"/>
      <c r="V42"/>
      <c r="Z42"/>
      <c r="AA42"/>
      <c r="AB42"/>
      <c r="AC42"/>
    </row>
    <row r="43" spans="1:29" ht="20.25">
      <c r="A43"/>
      <c r="B43"/>
      <c r="C43"/>
      <c r="D43"/>
      <c r="E43"/>
      <c r="F43"/>
      <c r="K43" s="40" t="s">
        <v>1277</v>
      </c>
      <c r="L43" s="40"/>
      <c r="M43" s="40"/>
      <c r="P43"/>
      <c r="Q43"/>
      <c r="R43"/>
      <c r="U43"/>
      <c r="V43"/>
      <c r="Z43"/>
      <c r="AA43"/>
      <c r="AB43"/>
      <c r="AC43"/>
    </row>
    <row r="44" spans="1:29" ht="20.25">
      <c r="A44"/>
      <c r="B44"/>
      <c r="C44"/>
      <c r="D44"/>
      <c r="E44"/>
      <c r="F44"/>
      <c r="K44" s="25" t="s">
        <v>1278</v>
      </c>
      <c r="L44" s="26" t="s">
        <v>1261</v>
      </c>
      <c r="M44" s="26" t="s">
        <v>1279</v>
      </c>
      <c r="N44" s="35" t="s">
        <v>1280</v>
      </c>
      <c r="P44"/>
      <c r="Q44"/>
      <c r="R44"/>
      <c r="U44"/>
      <c r="V44"/>
      <c r="Z44"/>
      <c r="AA44"/>
      <c r="AB44"/>
      <c r="AC44"/>
    </row>
    <row r="45" spans="1:29" ht="24" customHeight="1">
      <c r="A45"/>
      <c r="B45"/>
      <c r="C45"/>
      <c r="D45"/>
      <c r="E45"/>
      <c r="F45"/>
      <c r="K45" s="27" t="s">
        <v>68</v>
      </c>
      <c r="L45" s="28">
        <v>31599.08</v>
      </c>
      <c r="M45" s="29">
        <f t="shared" ref="M45:M54" si="0">L45/L$55</f>
        <v>0.13421699391223263</v>
      </c>
      <c r="N45" s="30">
        <f>M45+N55</f>
        <v>0.13421699391223263</v>
      </c>
      <c r="P45"/>
      <c r="Q45"/>
      <c r="R45"/>
      <c r="U45"/>
      <c r="V45"/>
      <c r="Z45"/>
      <c r="AA45"/>
      <c r="AB45"/>
      <c r="AC45"/>
    </row>
    <row r="46" spans="1:29" ht="24" customHeight="1">
      <c r="A46"/>
      <c r="B46"/>
      <c r="C46"/>
      <c r="D46"/>
      <c r="E46"/>
      <c r="F46"/>
      <c r="K46" s="27" t="s">
        <v>70</v>
      </c>
      <c r="L46" s="28">
        <v>30192.089999999997</v>
      </c>
      <c r="M46" s="29">
        <f t="shared" si="0"/>
        <v>0.12824080826807549</v>
      </c>
      <c r="N46" s="30">
        <f t="shared" ref="N46:N54" si="1">M46+N45</f>
        <v>0.26245780218030812</v>
      </c>
      <c r="P46"/>
      <c r="Q46"/>
      <c r="R46"/>
      <c r="U46"/>
      <c r="V46"/>
      <c r="Z46"/>
      <c r="AA46"/>
      <c r="AB46"/>
      <c r="AC46"/>
    </row>
    <row r="47" spans="1:29" ht="24" customHeight="1">
      <c r="A47"/>
      <c r="B47"/>
      <c r="C47"/>
      <c r="D47"/>
      <c r="E47"/>
      <c r="F47"/>
      <c r="K47" s="27" t="s">
        <v>62</v>
      </c>
      <c r="L47" s="28">
        <v>27720.090000000015</v>
      </c>
      <c r="M47" s="29">
        <f t="shared" si="0"/>
        <v>0.11774099596496297</v>
      </c>
      <c r="N47" s="30">
        <f t="shared" si="1"/>
        <v>0.38019879814527108</v>
      </c>
      <c r="P47"/>
      <c r="Q47"/>
      <c r="R47"/>
      <c r="U47"/>
      <c r="V47"/>
      <c r="Z47"/>
      <c r="AA47"/>
      <c r="AB47"/>
      <c r="AC47"/>
    </row>
    <row r="48" spans="1:29" ht="24" customHeight="1">
      <c r="A48"/>
      <c r="B48"/>
      <c r="C48"/>
      <c r="D48"/>
      <c r="E48"/>
      <c r="F48"/>
      <c r="K48" s="27" t="s">
        <v>42</v>
      </c>
      <c r="L48" s="28">
        <v>27178.44999999999</v>
      </c>
      <c r="M48" s="29">
        <f t="shared" si="0"/>
        <v>0.11544038175142811</v>
      </c>
      <c r="N48" s="30">
        <f t="shared" si="1"/>
        <v>0.4956391798966992</v>
      </c>
      <c r="P48"/>
      <c r="Q48"/>
      <c r="R48"/>
      <c r="U48"/>
      <c r="V48"/>
      <c r="Z48"/>
      <c r="AA48"/>
      <c r="AB48"/>
      <c r="AC48"/>
    </row>
    <row r="49" spans="1:29" ht="24" customHeight="1">
      <c r="A49"/>
      <c r="B49"/>
      <c r="C49"/>
      <c r="D49"/>
      <c r="E49"/>
      <c r="F49"/>
      <c r="K49" s="27" t="s">
        <v>39</v>
      </c>
      <c r="L49" s="28">
        <v>25555.620000000006</v>
      </c>
      <c r="M49" s="29">
        <f t="shared" si="0"/>
        <v>0.10854741637931645</v>
      </c>
      <c r="N49" s="30">
        <f t="shared" si="1"/>
        <v>0.60418659627601567</v>
      </c>
      <c r="P49"/>
      <c r="Q49"/>
      <c r="R49"/>
      <c r="U49" s="7" t="s">
        <v>1242</v>
      </c>
      <c r="V49" s="1" t="s">
        <v>1263</v>
      </c>
      <c r="W49"/>
      <c r="Z49"/>
      <c r="AA49"/>
      <c r="AB49"/>
      <c r="AC49"/>
    </row>
    <row r="50" spans="1:29" ht="24" customHeight="1">
      <c r="A50"/>
      <c r="B50"/>
      <c r="C50"/>
      <c r="D50"/>
      <c r="E50"/>
      <c r="F50"/>
      <c r="K50" s="27" t="s">
        <v>66</v>
      </c>
      <c r="L50" s="28">
        <v>24288.029999999995</v>
      </c>
      <c r="M50" s="29">
        <f t="shared" si="0"/>
        <v>0.1031633318011196</v>
      </c>
      <c r="N50" s="30">
        <f t="shared" si="1"/>
        <v>0.70734992807713526</v>
      </c>
      <c r="P50"/>
      <c r="Q50"/>
      <c r="R50"/>
      <c r="U50" s="1" t="s">
        <v>1245</v>
      </c>
      <c r="V50" s="9">
        <v>31590</v>
      </c>
      <c r="W50"/>
      <c r="X50" s="36">
        <v>31590</v>
      </c>
      <c r="Z50"/>
      <c r="AA50"/>
      <c r="AB50"/>
      <c r="AC50"/>
    </row>
    <row r="51" spans="1:29" ht="24" customHeight="1">
      <c r="A51"/>
      <c r="B51"/>
      <c r="C51"/>
      <c r="D51"/>
      <c r="E51"/>
      <c r="F51"/>
      <c r="K51" s="27" t="s">
        <v>100</v>
      </c>
      <c r="L51" s="28">
        <v>19746.080000000002</v>
      </c>
      <c r="M51" s="29">
        <f t="shared" si="0"/>
        <v>8.3871413318060473E-2</v>
      </c>
      <c r="N51" s="30">
        <f t="shared" si="1"/>
        <v>0.79122134139519573</v>
      </c>
      <c r="P51"/>
      <c r="Q51"/>
      <c r="R51"/>
      <c r="U51" s="2" t="s">
        <v>1267</v>
      </c>
      <c r="V51" s="9">
        <v>2469.09</v>
      </c>
      <c r="W51"/>
      <c r="X51" s="37">
        <v>2469.09</v>
      </c>
      <c r="Z51"/>
      <c r="AA51"/>
      <c r="AB51"/>
      <c r="AC51"/>
    </row>
    <row r="52" spans="1:29" ht="24" customHeight="1">
      <c r="A52"/>
      <c r="B52"/>
      <c r="C52"/>
      <c r="D52"/>
      <c r="E52"/>
      <c r="F52"/>
      <c r="K52" s="27" t="s">
        <v>24</v>
      </c>
      <c r="L52" s="28">
        <v>19507.310000000009</v>
      </c>
      <c r="M52" s="29">
        <f t="shared" si="0"/>
        <v>8.2857238486501367E-2</v>
      </c>
      <c r="N52" s="30">
        <f t="shared" si="1"/>
        <v>0.87407857988169713</v>
      </c>
      <c r="P52"/>
      <c r="Q52"/>
      <c r="R52"/>
      <c r="U52" s="2" t="s">
        <v>1268</v>
      </c>
      <c r="V52" s="9">
        <v>1144.1800000000003</v>
      </c>
      <c r="W52"/>
      <c r="X52" s="37">
        <v>1144.1800000000003</v>
      </c>
      <c r="Z52"/>
      <c r="AA52"/>
      <c r="AB52"/>
      <c r="AC52"/>
    </row>
    <row r="53" spans="1:29" ht="24" customHeight="1">
      <c r="A53"/>
      <c r="B53"/>
      <c r="C53"/>
      <c r="D53"/>
      <c r="E53"/>
      <c r="F53"/>
      <c r="K53" s="27" t="s">
        <v>87</v>
      </c>
      <c r="L53" s="28">
        <v>19473.910000000003</v>
      </c>
      <c r="M53" s="29">
        <f t="shared" si="0"/>
        <v>8.2715372090496508E-2</v>
      </c>
      <c r="N53" s="30">
        <f t="shared" si="1"/>
        <v>0.95679395197219363</v>
      </c>
      <c r="P53"/>
      <c r="Q53"/>
      <c r="R53"/>
      <c r="U53" s="2" t="s">
        <v>1269</v>
      </c>
      <c r="V53" s="9">
        <v>2296.84</v>
      </c>
      <c r="W53"/>
      <c r="X53" s="37">
        <v>2296.84</v>
      </c>
      <c r="Z53"/>
      <c r="AA53"/>
      <c r="AB53"/>
      <c r="AC53"/>
    </row>
    <row r="54" spans="1:29" ht="24" customHeight="1">
      <c r="A54"/>
      <c r="B54"/>
      <c r="C54"/>
      <c r="D54"/>
      <c r="E54"/>
      <c r="F54"/>
      <c r="K54" s="27" t="s">
        <v>34</v>
      </c>
      <c r="L54" s="28">
        <v>10172.119999999999</v>
      </c>
      <c r="M54" s="29">
        <f t="shared" si="0"/>
        <v>4.320604802780649E-2</v>
      </c>
      <c r="N54" s="30">
        <f t="shared" si="1"/>
        <v>1.0000000000000002</v>
      </c>
      <c r="P54"/>
      <c r="Q54"/>
      <c r="R54"/>
      <c r="U54" s="2" t="s">
        <v>1270</v>
      </c>
      <c r="V54" s="9">
        <v>3892.82</v>
      </c>
      <c r="W54"/>
      <c r="X54" s="37">
        <v>3892.82</v>
      </c>
      <c r="Z54"/>
      <c r="AA54"/>
      <c r="AB54"/>
      <c r="AC54"/>
    </row>
    <row r="55" spans="1:29" ht="24" customHeight="1">
      <c r="A55"/>
      <c r="B55"/>
      <c r="C55"/>
      <c r="D55"/>
      <c r="E55"/>
      <c r="F55"/>
      <c r="K55" s="31"/>
      <c r="L55" s="32">
        <f>SUM(L45:L54)</f>
        <v>235432.78</v>
      </c>
      <c r="M55" s="33">
        <f>SUM(M45:M54)</f>
        <v>1.0000000000000002</v>
      </c>
      <c r="N55" s="34"/>
      <c r="P55"/>
      <c r="Q55"/>
      <c r="R55"/>
      <c r="U55" s="2" t="s">
        <v>1271</v>
      </c>
      <c r="V55" s="9">
        <v>2770.2999999999997</v>
      </c>
      <c r="W55"/>
      <c r="X55" s="37">
        <v>2770.2999999999997</v>
      </c>
      <c r="Z55"/>
      <c r="AA55"/>
      <c r="AB55"/>
      <c r="AC55"/>
    </row>
    <row r="56" spans="1:29">
      <c r="A56"/>
      <c r="B56"/>
      <c r="C56"/>
      <c r="D56"/>
      <c r="E56"/>
      <c r="F56"/>
      <c r="K56"/>
      <c r="L56"/>
      <c r="M56"/>
      <c r="P56"/>
      <c r="Q56"/>
      <c r="R56"/>
      <c r="U56" s="2" t="s">
        <v>1272</v>
      </c>
      <c r="V56" s="9">
        <v>2084.9899999999998</v>
      </c>
      <c r="W56"/>
      <c r="X56" s="37">
        <v>2084.9899999999998</v>
      </c>
      <c r="Z56"/>
      <c r="AA56"/>
      <c r="AB56"/>
      <c r="AC56"/>
    </row>
    <row r="57" spans="1:29">
      <c r="A57"/>
      <c r="B57"/>
      <c r="C57"/>
      <c r="D57"/>
      <c r="E57"/>
      <c r="F57"/>
      <c r="K57"/>
      <c r="L57"/>
      <c r="M57"/>
      <c r="P57"/>
      <c r="Q57"/>
      <c r="R57"/>
      <c r="U57" s="2" t="s">
        <v>1264</v>
      </c>
      <c r="V57" s="9">
        <v>2594.39</v>
      </c>
      <c r="W57"/>
      <c r="X57" s="37">
        <v>2594.39</v>
      </c>
      <c r="Z57"/>
      <c r="AA57"/>
      <c r="AB57"/>
      <c r="AC57"/>
    </row>
    <row r="58" spans="1:29">
      <c r="A58"/>
      <c r="B58"/>
      <c r="C58"/>
      <c r="D58"/>
      <c r="E58"/>
      <c r="F58"/>
      <c r="K58"/>
      <c r="L58"/>
      <c r="M58"/>
      <c r="P58"/>
      <c r="Q58"/>
      <c r="R58"/>
      <c r="U58" s="2" t="s">
        <v>1265</v>
      </c>
      <c r="V58" s="9">
        <v>2470.5700000000002</v>
      </c>
      <c r="W58"/>
      <c r="X58" s="37">
        <v>2470.5700000000002</v>
      </c>
      <c r="Z58"/>
      <c r="AA58"/>
      <c r="AB58"/>
      <c r="AC58"/>
    </row>
    <row r="59" spans="1:29">
      <c r="A59"/>
      <c r="B59"/>
      <c r="C59"/>
      <c r="D59"/>
      <c r="E59"/>
      <c r="F59"/>
      <c r="K59"/>
      <c r="L59"/>
      <c r="M59"/>
      <c r="P59"/>
      <c r="Q59"/>
      <c r="R59"/>
      <c r="U59" s="2" t="s">
        <v>1266</v>
      </c>
      <c r="V59" s="9">
        <v>2672.33</v>
      </c>
      <c r="W59"/>
      <c r="X59" s="37">
        <v>2672.33</v>
      </c>
      <c r="Z59"/>
      <c r="AA59"/>
      <c r="AB59"/>
      <c r="AC59"/>
    </row>
    <row r="60" spans="1:29">
      <c r="A60"/>
      <c r="B60"/>
      <c r="C60"/>
      <c r="D60"/>
      <c r="E60"/>
      <c r="F60"/>
      <c r="K60"/>
      <c r="L60"/>
      <c r="M60"/>
      <c r="P60"/>
      <c r="Q60"/>
      <c r="R60"/>
      <c r="U60" s="2" t="s">
        <v>1273</v>
      </c>
      <c r="V60" s="9">
        <v>3651.309999999999</v>
      </c>
      <c r="W60"/>
      <c r="X60" s="37">
        <v>3651.309999999999</v>
      </c>
    </row>
    <row r="61" spans="1:29">
      <c r="A61"/>
      <c r="B61"/>
      <c r="C61"/>
      <c r="D61"/>
      <c r="E61"/>
      <c r="F61"/>
      <c r="K61"/>
      <c r="L61"/>
      <c r="M61"/>
      <c r="P61"/>
      <c r="Q61"/>
      <c r="R61"/>
      <c r="U61" s="2" t="s">
        <v>1274</v>
      </c>
      <c r="V61" s="9">
        <v>2736.9199999999996</v>
      </c>
      <c r="W61"/>
      <c r="X61" s="37">
        <v>2736.9199999999996</v>
      </c>
    </row>
    <row r="62" spans="1:29">
      <c r="A62"/>
      <c r="B62"/>
      <c r="C62"/>
      <c r="D62"/>
      <c r="E62"/>
      <c r="F62"/>
      <c r="K62"/>
      <c r="L62"/>
      <c r="M62"/>
      <c r="P62"/>
      <c r="Q62"/>
      <c r="R62"/>
      <c r="U62" s="2" t="s">
        <v>1275</v>
      </c>
      <c r="V62" s="9">
        <v>2806.2600000000007</v>
      </c>
      <c r="W62"/>
      <c r="X62" s="37">
        <v>2806.2600000000007</v>
      </c>
    </row>
    <row r="63" spans="1:29" ht="15">
      <c r="A63"/>
      <c r="B63"/>
      <c r="C63"/>
      <c r="D63"/>
      <c r="E63"/>
      <c r="F63"/>
      <c r="K63"/>
      <c r="L63"/>
      <c r="M63"/>
      <c r="P63"/>
      <c r="Q63"/>
      <c r="R63"/>
      <c r="U63" s="1" t="s">
        <v>1246</v>
      </c>
      <c r="V63" s="9">
        <v>30505.86</v>
      </c>
      <c r="W63"/>
      <c r="X63" s="36">
        <v>30505.86</v>
      </c>
    </row>
    <row r="64" spans="1:29">
      <c r="A64"/>
      <c r="B64"/>
      <c r="C64"/>
      <c r="D64"/>
      <c r="E64"/>
      <c r="F64"/>
      <c r="K64"/>
      <c r="L64"/>
      <c r="M64"/>
      <c r="P64"/>
      <c r="Q64"/>
      <c r="R64"/>
      <c r="U64" s="2" t="s">
        <v>1267</v>
      </c>
      <c r="V64" s="9">
        <v>3002.99</v>
      </c>
      <c r="W64"/>
      <c r="X64" s="37">
        <v>3002.99</v>
      </c>
    </row>
    <row r="65" spans="1:26">
      <c r="A65"/>
      <c r="B65"/>
      <c r="C65"/>
      <c r="D65"/>
      <c r="E65"/>
      <c r="F65"/>
      <c r="K65"/>
      <c r="L65"/>
      <c r="M65"/>
      <c r="P65"/>
      <c r="Q65"/>
      <c r="R65"/>
      <c r="U65" s="2" t="s">
        <v>1268</v>
      </c>
      <c r="V65" s="9">
        <v>1660.99</v>
      </c>
      <c r="W65"/>
      <c r="X65" s="37">
        <v>1660.99</v>
      </c>
    </row>
    <row r="66" spans="1:26">
      <c r="A66"/>
      <c r="B66"/>
      <c r="C66"/>
      <c r="D66"/>
      <c r="E66"/>
      <c r="F66"/>
      <c r="K66"/>
      <c r="L66"/>
      <c r="M66"/>
      <c r="P66"/>
      <c r="Q66"/>
      <c r="R66"/>
      <c r="U66" s="2" t="s">
        <v>1269</v>
      </c>
      <c r="V66" s="9">
        <v>3952.2100000000005</v>
      </c>
      <c r="W66"/>
      <c r="X66" s="37">
        <v>3952.2100000000005</v>
      </c>
    </row>
    <row r="67" spans="1:26">
      <c r="A67"/>
      <c r="B67"/>
      <c r="C67"/>
      <c r="D67"/>
      <c r="E67"/>
      <c r="F67"/>
      <c r="K67"/>
      <c r="L67"/>
      <c r="M67"/>
      <c r="P67"/>
      <c r="Q67"/>
      <c r="R67"/>
      <c r="U67" s="2" t="s">
        <v>1270</v>
      </c>
      <c r="V67" s="9">
        <v>1716.7000000000003</v>
      </c>
      <c r="W67"/>
      <c r="X67" s="37">
        <v>1716.7000000000003</v>
      </c>
    </row>
    <row r="68" spans="1:26">
      <c r="A68"/>
      <c r="B68"/>
      <c r="C68"/>
      <c r="D68"/>
      <c r="E68"/>
      <c r="F68"/>
      <c r="K68"/>
      <c r="L68"/>
      <c r="M68"/>
      <c r="P68"/>
      <c r="Q68"/>
      <c r="R68"/>
      <c r="U68" s="2" t="s">
        <v>1271</v>
      </c>
      <c r="V68" s="9">
        <v>3365.08</v>
      </c>
      <c r="W68"/>
      <c r="X68" s="37">
        <v>3365.08</v>
      </c>
    </row>
    <row r="69" spans="1:26">
      <c r="A69"/>
      <c r="B69"/>
      <c r="C69"/>
      <c r="D69"/>
      <c r="E69"/>
      <c r="F69"/>
      <c r="K69"/>
      <c r="L69"/>
      <c r="M69"/>
      <c r="P69"/>
      <c r="Q69"/>
      <c r="R69"/>
      <c r="U69" s="2" t="s">
        <v>1272</v>
      </c>
      <c r="V69" s="9">
        <v>2704.44</v>
      </c>
      <c r="W69"/>
      <c r="X69" s="37">
        <v>2704.44</v>
      </c>
    </row>
    <row r="70" spans="1:26">
      <c r="A70"/>
      <c r="B70"/>
      <c r="C70"/>
      <c r="D70"/>
      <c r="E70"/>
      <c r="F70"/>
      <c r="K70"/>
      <c r="L70"/>
      <c r="M70"/>
      <c r="P70"/>
      <c r="Q70"/>
      <c r="R70"/>
      <c r="U70" s="2" t="s">
        <v>1264</v>
      </c>
      <c r="V70" s="9">
        <v>2170.1899999999991</v>
      </c>
      <c r="W70"/>
      <c r="X70" s="37">
        <v>2170.1899999999991</v>
      </c>
    </row>
    <row r="71" spans="1:26">
      <c r="A71"/>
      <c r="B71"/>
      <c r="C71"/>
      <c r="D71"/>
      <c r="E71"/>
      <c r="F71"/>
      <c r="K71"/>
      <c r="L71"/>
      <c r="M71"/>
      <c r="P71"/>
      <c r="Q71"/>
      <c r="R71"/>
      <c r="U71" s="2" t="s">
        <v>1265</v>
      </c>
      <c r="V71" s="9">
        <v>2080.79</v>
      </c>
      <c r="W71"/>
      <c r="X71" s="37">
        <v>2080.79</v>
      </c>
    </row>
    <row r="72" spans="1:26">
      <c r="A72"/>
      <c r="B72"/>
      <c r="C72"/>
      <c r="D72"/>
      <c r="E72"/>
      <c r="F72"/>
      <c r="K72"/>
      <c r="L72"/>
      <c r="M72"/>
      <c r="P72"/>
      <c r="Q72"/>
      <c r="R72"/>
      <c r="U72" s="2" t="s">
        <v>1266</v>
      </c>
      <c r="V72" s="9">
        <v>2248.6299999999997</v>
      </c>
      <c r="W72"/>
      <c r="X72" s="37">
        <v>2248.6299999999997</v>
      </c>
    </row>
    <row r="73" spans="1:26">
      <c r="A73"/>
      <c r="B73"/>
      <c r="C73"/>
      <c r="D73"/>
      <c r="E73"/>
      <c r="F73"/>
      <c r="K73"/>
      <c r="L73"/>
      <c r="M73"/>
      <c r="P73"/>
      <c r="Q73"/>
      <c r="R73"/>
      <c r="U73" s="2" t="s">
        <v>1273</v>
      </c>
      <c r="V73" s="9">
        <v>2156.73</v>
      </c>
      <c r="W73"/>
      <c r="X73" s="37">
        <v>2156.73</v>
      </c>
    </row>
    <row r="74" spans="1:26">
      <c r="A74"/>
      <c r="B74"/>
      <c r="C74"/>
      <c r="D74"/>
      <c r="E74"/>
      <c r="F74"/>
      <c r="K74"/>
      <c r="L74"/>
      <c r="M74"/>
      <c r="P74"/>
      <c r="Q74"/>
      <c r="R74"/>
      <c r="U74" s="2" t="s">
        <v>1274</v>
      </c>
      <c r="V74" s="9">
        <v>2184.2400000000002</v>
      </c>
      <c r="W74"/>
      <c r="X74" s="37">
        <v>2184.2400000000002</v>
      </c>
    </row>
    <row r="75" spans="1:26">
      <c r="A75"/>
      <c r="B75"/>
      <c r="C75"/>
      <c r="D75"/>
      <c r="E75"/>
      <c r="F75"/>
      <c r="K75"/>
      <c r="L75"/>
      <c r="M75"/>
      <c r="P75"/>
      <c r="Q75"/>
      <c r="R75"/>
      <c r="U75" s="2" t="s">
        <v>1275</v>
      </c>
      <c r="V75" s="9">
        <v>3262.8700000000003</v>
      </c>
      <c r="W75"/>
      <c r="X75" s="37">
        <v>3262.8700000000003</v>
      </c>
    </row>
    <row r="76" spans="1:26" ht="15">
      <c r="A76"/>
      <c r="B76"/>
      <c r="C76"/>
      <c r="D76"/>
      <c r="E76"/>
      <c r="F76"/>
      <c r="K76"/>
      <c r="L76"/>
      <c r="M76"/>
      <c r="P76"/>
      <c r="Q76"/>
      <c r="R76"/>
      <c r="U76" s="1" t="s">
        <v>1247</v>
      </c>
      <c r="V76" s="9">
        <v>22973.99</v>
      </c>
      <c r="W76"/>
      <c r="X76" s="36">
        <v>22973.99</v>
      </c>
      <c r="Y76" s="38"/>
      <c r="Z76" s="39"/>
    </row>
    <row r="77" spans="1:26">
      <c r="A77"/>
      <c r="B77"/>
      <c r="C77"/>
      <c r="D77"/>
      <c r="E77"/>
      <c r="F77"/>
      <c r="K77"/>
      <c r="L77"/>
      <c r="M77"/>
      <c r="P77"/>
      <c r="Q77"/>
      <c r="R77"/>
      <c r="U77" s="2" t="s">
        <v>1267</v>
      </c>
      <c r="V77" s="9">
        <v>2152.48</v>
      </c>
      <c r="W77"/>
      <c r="X77" s="37">
        <v>2152.48</v>
      </c>
    </row>
    <row r="78" spans="1:26">
      <c r="A78"/>
      <c r="B78"/>
      <c r="C78"/>
      <c r="D78"/>
      <c r="E78"/>
      <c r="F78"/>
      <c r="K78"/>
      <c r="L78"/>
      <c r="M78"/>
      <c r="P78"/>
      <c r="Q78"/>
      <c r="R78"/>
      <c r="U78" s="2" t="s">
        <v>1268</v>
      </c>
      <c r="V78" s="9">
        <v>2688.5300000000007</v>
      </c>
      <c r="W78"/>
      <c r="X78" s="37">
        <v>2688.5300000000007</v>
      </c>
    </row>
    <row r="79" spans="1:26">
      <c r="A79"/>
      <c r="B79"/>
      <c r="C79"/>
      <c r="D79"/>
      <c r="E79"/>
      <c r="F79"/>
      <c r="K79"/>
      <c r="L79"/>
      <c r="M79"/>
      <c r="P79"/>
      <c r="Q79"/>
      <c r="R79"/>
      <c r="U79" s="2" t="s">
        <v>1269</v>
      </c>
      <c r="V79" s="9">
        <v>2588.19</v>
      </c>
      <c r="W79"/>
      <c r="X79" s="37">
        <v>2588.19</v>
      </c>
    </row>
    <row r="80" spans="1:26">
      <c r="A80"/>
      <c r="B80"/>
      <c r="C80"/>
      <c r="D80"/>
      <c r="E80"/>
      <c r="F80"/>
      <c r="K80"/>
      <c r="L80"/>
      <c r="M80"/>
      <c r="P80"/>
      <c r="Q80"/>
      <c r="R80"/>
      <c r="U80" s="2" t="s">
        <v>1270</v>
      </c>
      <c r="V80" s="9">
        <v>2284.9699999999998</v>
      </c>
      <c r="W80"/>
      <c r="X80" s="37">
        <v>2284.9699999999998</v>
      </c>
    </row>
    <row r="81" spans="1:24">
      <c r="A81"/>
      <c r="B81"/>
      <c r="C81"/>
      <c r="D81"/>
      <c r="E81"/>
      <c r="F81"/>
      <c r="K81"/>
      <c r="L81"/>
      <c r="M81"/>
      <c r="P81"/>
      <c r="Q81"/>
      <c r="R81"/>
      <c r="U81" s="2" t="s">
        <v>1271</v>
      </c>
      <c r="V81" s="9">
        <v>2677.7800000000007</v>
      </c>
      <c r="W81"/>
      <c r="X81" s="37">
        <v>2677.7800000000007</v>
      </c>
    </row>
    <row r="82" spans="1:24">
      <c r="A82"/>
      <c r="B82"/>
      <c r="C82"/>
      <c r="D82"/>
      <c r="E82"/>
      <c r="F82"/>
      <c r="K82"/>
      <c r="L82"/>
      <c r="M82"/>
      <c r="P82"/>
      <c r="Q82"/>
      <c r="R82"/>
      <c r="U82" s="2" t="s">
        <v>1272</v>
      </c>
      <c r="V82" s="9">
        <v>2928.9799999999991</v>
      </c>
      <c r="W82"/>
      <c r="X82" s="37">
        <v>2928.9799999999991</v>
      </c>
    </row>
    <row r="83" spans="1:24">
      <c r="A83"/>
      <c r="B83"/>
      <c r="C83"/>
      <c r="D83"/>
      <c r="E83"/>
      <c r="F83"/>
      <c r="K83"/>
      <c r="L83"/>
      <c r="M83"/>
      <c r="P83"/>
      <c r="Q83"/>
      <c r="R83"/>
      <c r="U83" s="2" t="s">
        <v>1264</v>
      </c>
      <c r="V83" s="9">
        <v>2073.56</v>
      </c>
      <c r="W83"/>
      <c r="X83" s="37">
        <v>2073.56</v>
      </c>
    </row>
    <row r="84" spans="1:24">
      <c r="A84"/>
      <c r="B84"/>
      <c r="C84"/>
      <c r="D84"/>
      <c r="E84"/>
      <c r="F84"/>
      <c r="K84"/>
      <c r="L84"/>
      <c r="M84"/>
      <c r="P84"/>
      <c r="Q84"/>
      <c r="R84"/>
      <c r="U84" s="2" t="s">
        <v>1265</v>
      </c>
      <c r="V84" s="9">
        <v>2300.3799999999997</v>
      </c>
      <c r="W84"/>
      <c r="X84" s="37">
        <v>2300.3799999999997</v>
      </c>
    </row>
    <row r="85" spans="1:24">
      <c r="A85"/>
      <c r="B85"/>
      <c r="C85"/>
      <c r="D85"/>
      <c r="E85"/>
      <c r="F85"/>
      <c r="K85"/>
      <c r="L85"/>
      <c r="M85"/>
      <c r="P85"/>
      <c r="Q85"/>
      <c r="R85"/>
      <c r="U85" s="2" t="s">
        <v>1266</v>
      </c>
      <c r="V85" s="9">
        <v>3279.12</v>
      </c>
      <c r="W85"/>
      <c r="X85" s="37">
        <v>3279.12</v>
      </c>
    </row>
    <row r="86" spans="1:24" ht="15">
      <c r="A86"/>
      <c r="B86"/>
      <c r="C86"/>
      <c r="D86"/>
      <c r="E86"/>
      <c r="F86"/>
      <c r="K86"/>
      <c r="L86"/>
      <c r="M86"/>
      <c r="P86"/>
      <c r="Q86"/>
      <c r="R86"/>
      <c r="U86" s="1" t="s">
        <v>1243</v>
      </c>
      <c r="V86" s="9">
        <v>85069.85</v>
      </c>
      <c r="W86"/>
      <c r="X86" s="36">
        <v>85069.85</v>
      </c>
    </row>
    <row r="87" spans="1:24">
      <c r="A87"/>
      <c r="B87"/>
      <c r="C87"/>
      <c r="D87"/>
      <c r="E87"/>
      <c r="F87"/>
      <c r="K87"/>
      <c r="L87"/>
      <c r="M87"/>
      <c r="P87"/>
      <c r="Q87"/>
      <c r="R87"/>
    </row>
    <row r="88" spans="1:24">
      <c r="A88"/>
      <c r="B88"/>
      <c r="C88"/>
      <c r="D88"/>
      <c r="E88"/>
      <c r="F88"/>
      <c r="K88"/>
      <c r="L88"/>
      <c r="M88"/>
      <c r="P88"/>
      <c r="Q88"/>
      <c r="R88"/>
    </row>
    <row r="89" spans="1:24">
      <c r="A89"/>
      <c r="B89"/>
      <c r="C89"/>
      <c r="D89"/>
      <c r="E89"/>
      <c r="F89"/>
      <c r="K89"/>
      <c r="L89"/>
      <c r="M89"/>
      <c r="P89"/>
      <c r="Q89"/>
      <c r="R89"/>
    </row>
    <row r="90" spans="1:24">
      <c r="A90"/>
      <c r="B90"/>
      <c r="C90"/>
      <c r="D90"/>
      <c r="E90"/>
      <c r="F90"/>
      <c r="K90"/>
      <c r="L90"/>
      <c r="M90"/>
      <c r="P90"/>
      <c r="Q90"/>
      <c r="R90"/>
    </row>
    <row r="91" spans="1:24">
      <c r="A91"/>
      <c r="B91"/>
      <c r="C91"/>
      <c r="D91"/>
      <c r="E91"/>
      <c r="F91"/>
      <c r="K91"/>
      <c r="L91"/>
      <c r="M91"/>
      <c r="P91"/>
      <c r="Q91"/>
      <c r="R91"/>
    </row>
    <row r="92" spans="1:24">
      <c r="A92"/>
      <c r="B92"/>
      <c r="C92"/>
      <c r="D92"/>
      <c r="E92"/>
      <c r="F92"/>
      <c r="K92"/>
      <c r="L92"/>
      <c r="M92"/>
      <c r="P92"/>
      <c r="Q92"/>
      <c r="R92"/>
    </row>
    <row r="93" spans="1:24">
      <c r="A93"/>
      <c r="B93"/>
      <c r="C93"/>
      <c r="D93"/>
      <c r="E93"/>
      <c r="F93"/>
      <c r="K93"/>
      <c r="L93"/>
      <c r="M93"/>
      <c r="P93"/>
      <c r="Q93"/>
      <c r="R93"/>
    </row>
    <row r="94" spans="1:24">
      <c r="A94"/>
      <c r="B94"/>
      <c r="C94"/>
      <c r="D94"/>
      <c r="E94"/>
      <c r="F94"/>
      <c r="K94"/>
      <c r="L94"/>
      <c r="M94"/>
      <c r="P94"/>
      <c r="Q94"/>
      <c r="R94"/>
    </row>
    <row r="95" spans="1:24">
      <c r="A95"/>
      <c r="B95"/>
      <c r="C95"/>
      <c r="D95"/>
      <c r="E95"/>
      <c r="F95"/>
      <c r="K95"/>
      <c r="L95"/>
      <c r="M95"/>
      <c r="P95"/>
      <c r="Q95"/>
      <c r="R95"/>
    </row>
    <row r="96" spans="1:24">
      <c r="A96"/>
      <c r="B96"/>
      <c r="C96"/>
      <c r="D96"/>
      <c r="E96"/>
      <c r="F96"/>
      <c r="K96"/>
      <c r="L96"/>
      <c r="M96"/>
      <c r="P96"/>
      <c r="Q96"/>
      <c r="R96"/>
    </row>
    <row r="97" spans="1:18">
      <c r="A97"/>
      <c r="B97"/>
      <c r="C97"/>
      <c r="D97"/>
      <c r="E97"/>
      <c r="F97"/>
      <c r="K97"/>
      <c r="L97"/>
      <c r="M97"/>
      <c r="P97"/>
      <c r="Q97"/>
      <c r="R97"/>
    </row>
    <row r="98" spans="1:18">
      <c r="A98"/>
      <c r="B98"/>
      <c r="C98"/>
      <c r="D98"/>
      <c r="E98"/>
      <c r="F98"/>
      <c r="K98"/>
      <c r="L98"/>
      <c r="M98"/>
      <c r="P98"/>
      <c r="Q98"/>
      <c r="R98"/>
    </row>
    <row r="99" spans="1:18">
      <c r="A99"/>
      <c r="B99"/>
      <c r="C99"/>
      <c r="D99"/>
      <c r="E99"/>
      <c r="F99"/>
      <c r="K99"/>
      <c r="L99"/>
      <c r="M99"/>
      <c r="P99"/>
      <c r="Q99"/>
      <c r="R99"/>
    </row>
    <row r="100" spans="1:18">
      <c r="A100"/>
      <c r="B100"/>
      <c r="C100"/>
      <c r="D100"/>
      <c r="E100"/>
      <c r="F100"/>
      <c r="K100"/>
      <c r="L100"/>
      <c r="M100"/>
      <c r="P100"/>
      <c r="Q100"/>
      <c r="R100"/>
    </row>
    <row r="101" spans="1:18">
      <c r="A101"/>
      <c r="B101"/>
      <c r="C101"/>
      <c r="D101"/>
      <c r="E101"/>
      <c r="F101"/>
      <c r="K101"/>
      <c r="L101"/>
      <c r="M101"/>
      <c r="P101"/>
      <c r="Q101"/>
      <c r="R101"/>
    </row>
    <row r="102" spans="1:18">
      <c r="A102"/>
      <c r="B102"/>
      <c r="C102"/>
      <c r="D102"/>
      <c r="E102"/>
      <c r="F102"/>
      <c r="K102"/>
      <c r="L102"/>
      <c r="M102"/>
      <c r="P102"/>
      <c r="Q102"/>
      <c r="R102"/>
    </row>
    <row r="103" spans="1:18">
      <c r="A103"/>
      <c r="B103"/>
      <c r="C103"/>
      <c r="D103"/>
      <c r="E103"/>
      <c r="F103"/>
      <c r="K103"/>
      <c r="L103"/>
      <c r="M103"/>
      <c r="P103"/>
      <c r="Q103"/>
      <c r="R103"/>
    </row>
    <row r="104" spans="1:18">
      <c r="A104"/>
      <c r="B104"/>
      <c r="C104"/>
      <c r="D104"/>
      <c r="E104"/>
      <c r="F104"/>
      <c r="K104"/>
      <c r="L104"/>
      <c r="M104"/>
      <c r="P104"/>
      <c r="Q104"/>
      <c r="R104"/>
    </row>
    <row r="105" spans="1:18">
      <c r="A105"/>
      <c r="B105"/>
      <c r="C105"/>
      <c r="D105"/>
      <c r="E105"/>
      <c r="F105"/>
      <c r="K105"/>
      <c r="L105"/>
      <c r="M105"/>
      <c r="P105"/>
      <c r="Q105"/>
      <c r="R105"/>
    </row>
    <row r="106" spans="1:18">
      <c r="A106"/>
      <c r="B106"/>
      <c r="C106"/>
      <c r="D106"/>
      <c r="E106"/>
      <c r="F106"/>
      <c r="K106"/>
      <c r="L106"/>
      <c r="M106"/>
      <c r="P106"/>
      <c r="Q106"/>
      <c r="R106"/>
    </row>
    <row r="107" spans="1:18">
      <c r="A107"/>
      <c r="B107"/>
      <c r="C107"/>
      <c r="D107"/>
      <c r="E107"/>
      <c r="F107"/>
      <c r="K107"/>
      <c r="L107"/>
      <c r="M107"/>
      <c r="P107"/>
      <c r="Q107"/>
      <c r="R107"/>
    </row>
    <row r="108" spans="1:18">
      <c r="A108"/>
      <c r="B108"/>
      <c r="C108"/>
      <c r="D108"/>
      <c r="E108"/>
      <c r="F108"/>
      <c r="K108"/>
      <c r="L108"/>
      <c r="M108"/>
      <c r="P108"/>
      <c r="Q108"/>
      <c r="R108"/>
    </row>
    <row r="109" spans="1:18">
      <c r="A109"/>
      <c r="B109"/>
      <c r="C109"/>
      <c r="D109"/>
      <c r="E109"/>
      <c r="F109"/>
      <c r="K109"/>
      <c r="L109"/>
      <c r="M109"/>
    </row>
    <row r="110" spans="1:18">
      <c r="A110"/>
      <c r="B110"/>
      <c r="C110"/>
      <c r="D110"/>
      <c r="E110"/>
      <c r="F110"/>
      <c r="K110"/>
      <c r="L110"/>
      <c r="M110"/>
    </row>
    <row r="111" spans="1:18">
      <c r="A111"/>
      <c r="B111"/>
      <c r="C111"/>
      <c r="D111"/>
      <c r="E111"/>
      <c r="F111"/>
      <c r="K111"/>
      <c r="L111"/>
      <c r="M111"/>
    </row>
    <row r="112" spans="1:18">
      <c r="A112"/>
      <c r="B112"/>
      <c r="C112"/>
      <c r="D112"/>
      <c r="E112"/>
      <c r="F112"/>
      <c r="K112"/>
      <c r="L112"/>
      <c r="M112"/>
    </row>
    <row r="113" spans="1:13">
      <c r="A113"/>
      <c r="B113"/>
      <c r="C113"/>
      <c r="D113"/>
      <c r="E113"/>
      <c r="F113"/>
      <c r="K113"/>
      <c r="L113"/>
      <c r="M113"/>
    </row>
    <row r="114" spans="1:13">
      <c r="A114"/>
      <c r="B114"/>
      <c r="C114"/>
      <c r="D114"/>
      <c r="E114"/>
      <c r="F114"/>
      <c r="K114"/>
      <c r="L114"/>
      <c r="M114"/>
    </row>
    <row r="115" spans="1:13">
      <c r="A115"/>
      <c r="B115"/>
      <c r="C115"/>
      <c r="D115"/>
      <c r="E115"/>
      <c r="F115"/>
      <c r="K115"/>
      <c r="L115"/>
      <c r="M115"/>
    </row>
    <row r="116" spans="1:13">
      <c r="A116"/>
      <c r="B116"/>
      <c r="C116"/>
      <c r="D116"/>
      <c r="E116"/>
      <c r="F116"/>
      <c r="K116"/>
      <c r="L116"/>
      <c r="M116"/>
    </row>
    <row r="117" spans="1:13">
      <c r="A117"/>
      <c r="B117"/>
      <c r="C117"/>
      <c r="D117"/>
      <c r="E117"/>
      <c r="F117"/>
      <c r="K117"/>
      <c r="L117"/>
      <c r="M117"/>
    </row>
    <row r="118" spans="1:13">
      <c r="A118"/>
      <c r="B118"/>
      <c r="C118"/>
      <c r="D118"/>
      <c r="E118"/>
      <c r="F118"/>
      <c r="K118"/>
      <c r="L118"/>
      <c r="M118"/>
    </row>
    <row r="119" spans="1:13">
      <c r="A119"/>
      <c r="B119"/>
      <c r="C119"/>
      <c r="D119"/>
      <c r="E119"/>
      <c r="F119"/>
      <c r="K119"/>
      <c r="L119"/>
      <c r="M119"/>
    </row>
    <row r="120" spans="1:13">
      <c r="A120"/>
      <c r="B120"/>
      <c r="C120"/>
      <c r="D120"/>
      <c r="E120"/>
      <c r="F120"/>
      <c r="K120"/>
      <c r="L120"/>
      <c r="M120"/>
    </row>
    <row r="121" spans="1:13">
      <c r="A121"/>
      <c r="B121"/>
      <c r="C121"/>
      <c r="D121"/>
      <c r="E121"/>
      <c r="F121"/>
      <c r="K121"/>
      <c r="L121"/>
      <c r="M121"/>
    </row>
    <row r="122" spans="1:13">
      <c r="A122"/>
      <c r="B122"/>
      <c r="C122"/>
      <c r="D122"/>
      <c r="E122"/>
      <c r="F122"/>
      <c r="K122"/>
      <c r="L122"/>
      <c r="M122"/>
    </row>
    <row r="123" spans="1:13">
      <c r="A123"/>
      <c r="B123"/>
      <c r="C123"/>
      <c r="D123"/>
      <c r="E123"/>
      <c r="F123"/>
      <c r="K123"/>
      <c r="L123"/>
      <c r="M123"/>
    </row>
    <row r="124" spans="1:13">
      <c r="A124"/>
      <c r="B124"/>
      <c r="C124"/>
      <c r="D124"/>
      <c r="E124"/>
      <c r="F124"/>
      <c r="K124"/>
      <c r="L124"/>
      <c r="M124"/>
    </row>
    <row r="125" spans="1:13">
      <c r="A125"/>
      <c r="B125"/>
      <c r="C125"/>
      <c r="D125"/>
      <c r="E125"/>
      <c r="F125"/>
      <c r="K125"/>
      <c r="L125"/>
      <c r="M125"/>
    </row>
    <row r="126" spans="1:13">
      <c r="A126"/>
      <c r="B126"/>
      <c r="C126"/>
      <c r="D126"/>
      <c r="E126"/>
      <c r="F126"/>
      <c r="K126"/>
      <c r="L126"/>
      <c r="M126"/>
    </row>
    <row r="127" spans="1:13">
      <c r="A127"/>
      <c r="B127"/>
      <c r="C127"/>
      <c r="D127"/>
      <c r="E127"/>
      <c r="F127"/>
      <c r="K127"/>
      <c r="L127"/>
      <c r="M127"/>
    </row>
    <row r="128" spans="1:13">
      <c r="A128"/>
      <c r="B128"/>
      <c r="C128"/>
      <c r="D128"/>
      <c r="E128"/>
      <c r="F128"/>
      <c r="K128"/>
      <c r="L128"/>
      <c r="M128"/>
    </row>
    <row r="129" spans="1:39">
      <c r="A129"/>
      <c r="B129"/>
      <c r="C129"/>
      <c r="D129"/>
      <c r="E129"/>
      <c r="F129"/>
      <c r="K129"/>
      <c r="L129"/>
      <c r="M129"/>
    </row>
    <row r="130" spans="1:39">
      <c r="A130"/>
      <c r="B130"/>
      <c r="C130"/>
      <c r="D130"/>
      <c r="E130"/>
      <c r="F130"/>
      <c r="K130"/>
      <c r="L130"/>
      <c r="M130"/>
    </row>
    <row r="131" spans="1:39">
      <c r="A131"/>
      <c r="B131"/>
      <c r="C131"/>
      <c r="D131"/>
      <c r="E131"/>
      <c r="F131"/>
      <c r="K131"/>
      <c r="L131"/>
      <c r="M131"/>
      <c r="N131"/>
      <c r="O131"/>
      <c r="P131"/>
      <c r="Q131"/>
      <c r="R131"/>
      <c r="S131"/>
      <c r="T131"/>
      <c r="U131"/>
      <c r="V131"/>
      <c r="W131"/>
      <c r="X131"/>
      <c r="Y131"/>
      <c r="Z131"/>
      <c r="AA131"/>
      <c r="AB131"/>
      <c r="AC131"/>
      <c r="AD131"/>
      <c r="AE131"/>
      <c r="AF131"/>
      <c r="AG131"/>
      <c r="AH131"/>
      <c r="AI131"/>
      <c r="AJ131"/>
      <c r="AK131"/>
      <c r="AL131"/>
      <c r="AM131"/>
    </row>
    <row r="132" spans="1:39">
      <c r="A132"/>
      <c r="B132"/>
      <c r="C132"/>
      <c r="D132"/>
      <c r="E132"/>
      <c r="F132"/>
      <c r="K132"/>
      <c r="L132"/>
      <c r="M132"/>
      <c r="N132"/>
      <c r="O132"/>
      <c r="P132"/>
      <c r="Q132"/>
      <c r="R132"/>
      <c r="S132"/>
      <c r="T132"/>
      <c r="U132"/>
      <c r="V132"/>
      <c r="W132"/>
      <c r="X132"/>
      <c r="Y132"/>
      <c r="Z132"/>
      <c r="AA132"/>
      <c r="AB132"/>
      <c r="AC132"/>
      <c r="AD132"/>
      <c r="AE132"/>
      <c r="AF132"/>
      <c r="AG132"/>
      <c r="AH132"/>
      <c r="AI132"/>
      <c r="AJ132"/>
      <c r="AK132"/>
      <c r="AL132"/>
      <c r="AM132"/>
    </row>
    <row r="133" spans="1:39">
      <c r="A133"/>
      <c r="B133"/>
      <c r="C133"/>
      <c r="D133"/>
      <c r="E133"/>
      <c r="F133"/>
      <c r="K133"/>
      <c r="L133"/>
      <c r="M133"/>
      <c r="N133"/>
      <c r="O133"/>
      <c r="P133"/>
      <c r="Q133"/>
      <c r="R133"/>
      <c r="S133"/>
      <c r="T133"/>
      <c r="U133"/>
      <c r="V133"/>
      <c r="W133"/>
      <c r="X133"/>
      <c r="Y133"/>
      <c r="Z133"/>
      <c r="AA133"/>
      <c r="AB133"/>
      <c r="AC133"/>
      <c r="AD133"/>
      <c r="AE133"/>
      <c r="AF133"/>
      <c r="AG133"/>
      <c r="AH133"/>
      <c r="AI133"/>
      <c r="AJ133"/>
      <c r="AK133"/>
      <c r="AL133"/>
      <c r="AM133"/>
    </row>
    <row r="134" spans="1:39">
      <c r="A134"/>
      <c r="B134"/>
      <c r="C134"/>
      <c r="D134"/>
      <c r="E134"/>
      <c r="F134"/>
      <c r="K134"/>
      <c r="L134"/>
      <c r="M134"/>
      <c r="N134"/>
      <c r="O134"/>
      <c r="P134"/>
      <c r="Q134"/>
      <c r="R134"/>
      <c r="S134"/>
      <c r="T134"/>
      <c r="U134"/>
      <c r="V134"/>
      <c r="W134"/>
      <c r="X134"/>
      <c r="Y134"/>
      <c r="Z134"/>
      <c r="AA134"/>
      <c r="AB134"/>
      <c r="AC134"/>
      <c r="AD134"/>
      <c r="AE134"/>
      <c r="AF134"/>
      <c r="AG134"/>
      <c r="AH134"/>
      <c r="AI134"/>
      <c r="AJ134"/>
      <c r="AK134"/>
      <c r="AL134"/>
      <c r="AM134"/>
    </row>
    <row r="135" spans="1:39">
      <c r="A135"/>
      <c r="B135"/>
      <c r="C135"/>
      <c r="D135"/>
      <c r="E135"/>
      <c r="F135"/>
      <c r="K135"/>
      <c r="L135"/>
      <c r="M135"/>
      <c r="N135"/>
      <c r="O135"/>
      <c r="P135"/>
      <c r="Q135"/>
      <c r="R135"/>
      <c r="S135"/>
      <c r="T135"/>
      <c r="U135"/>
      <c r="V135"/>
      <c r="W135"/>
      <c r="X135"/>
      <c r="Y135"/>
      <c r="Z135"/>
      <c r="AA135"/>
      <c r="AB135"/>
      <c r="AC135"/>
      <c r="AD135"/>
      <c r="AE135"/>
      <c r="AF135"/>
      <c r="AG135"/>
      <c r="AH135"/>
      <c r="AI135"/>
      <c r="AJ135"/>
      <c r="AK135"/>
      <c r="AL135"/>
      <c r="AM135"/>
    </row>
    <row r="136" spans="1:39">
      <c r="A136"/>
      <c r="B136"/>
      <c r="C136"/>
      <c r="D136"/>
      <c r="E136"/>
      <c r="F136"/>
      <c r="K136"/>
      <c r="L136"/>
      <c r="M136"/>
      <c r="N136"/>
      <c r="O136"/>
      <c r="P136"/>
      <c r="Q136"/>
      <c r="R136"/>
      <c r="S136"/>
      <c r="T136"/>
      <c r="U136"/>
      <c r="V136"/>
      <c r="W136"/>
      <c r="X136"/>
      <c r="Y136"/>
      <c r="Z136"/>
      <c r="AA136"/>
      <c r="AB136"/>
      <c r="AC136"/>
      <c r="AD136"/>
      <c r="AE136"/>
      <c r="AF136"/>
      <c r="AG136"/>
      <c r="AH136"/>
      <c r="AI136"/>
      <c r="AJ136"/>
      <c r="AK136"/>
      <c r="AL136"/>
      <c r="AM136"/>
    </row>
    <row r="137" spans="1:39">
      <c r="A137"/>
      <c r="B137"/>
      <c r="C137"/>
      <c r="D137"/>
      <c r="E137"/>
      <c r="F137"/>
      <c r="K137"/>
      <c r="L137"/>
      <c r="M137"/>
      <c r="N137"/>
      <c r="O137"/>
      <c r="P137"/>
      <c r="Q137"/>
      <c r="R137"/>
      <c r="S137"/>
      <c r="T137"/>
      <c r="U137"/>
      <c r="V137"/>
      <c r="W137"/>
      <c r="X137"/>
      <c r="Y137"/>
      <c r="Z137"/>
      <c r="AA137"/>
      <c r="AB137"/>
      <c r="AC137"/>
      <c r="AD137"/>
      <c r="AE137"/>
      <c r="AF137"/>
      <c r="AG137"/>
      <c r="AH137"/>
      <c r="AI137"/>
      <c r="AJ137"/>
      <c r="AK137"/>
      <c r="AL137"/>
      <c r="AM137"/>
    </row>
    <row r="138" spans="1:39">
      <c r="A138"/>
      <c r="B138"/>
      <c r="C138"/>
      <c r="D138"/>
      <c r="E138"/>
      <c r="F138"/>
      <c r="K138"/>
      <c r="L138"/>
      <c r="M138"/>
      <c r="N138"/>
      <c r="O138"/>
      <c r="P138"/>
      <c r="Q138"/>
    </row>
    <row r="139" spans="1:39">
      <c r="A139"/>
      <c r="B139"/>
      <c r="C139"/>
      <c r="D139"/>
      <c r="E139"/>
      <c r="F139"/>
      <c r="K139"/>
      <c r="L139"/>
      <c r="M139"/>
      <c r="N139"/>
      <c r="O139"/>
      <c r="P139"/>
      <c r="Q139"/>
    </row>
    <row r="140" spans="1:39">
      <c r="A140"/>
      <c r="B140"/>
      <c r="C140"/>
      <c r="D140"/>
      <c r="E140"/>
      <c r="F140"/>
      <c r="K140"/>
      <c r="L140"/>
      <c r="M140"/>
      <c r="N140"/>
      <c r="O140"/>
      <c r="P140"/>
      <c r="Q140"/>
    </row>
    <row r="141" spans="1:39">
      <c r="A141"/>
      <c r="B141"/>
      <c r="C141"/>
      <c r="D141"/>
      <c r="E141"/>
      <c r="F141"/>
      <c r="K141"/>
      <c r="L141"/>
      <c r="M141"/>
      <c r="N141"/>
      <c r="O141"/>
      <c r="P141"/>
      <c r="Q141"/>
    </row>
    <row r="142" spans="1:39">
      <c r="A142"/>
      <c r="B142"/>
      <c r="C142"/>
      <c r="D142"/>
      <c r="E142"/>
      <c r="F142"/>
      <c r="K142"/>
      <c r="L142"/>
      <c r="M142"/>
      <c r="N142"/>
      <c r="O142"/>
      <c r="P142"/>
      <c r="Q142"/>
    </row>
    <row r="143" spans="1:39">
      <c r="A143"/>
      <c r="B143"/>
      <c r="C143"/>
      <c r="D143"/>
      <c r="E143"/>
      <c r="F143"/>
      <c r="N143"/>
      <c r="O143"/>
      <c r="P143"/>
      <c r="Q143"/>
    </row>
    <row r="144" spans="1:39">
      <c r="A144"/>
      <c r="B144"/>
      <c r="C144"/>
      <c r="D144"/>
      <c r="E144"/>
      <c r="F144"/>
      <c r="N144"/>
      <c r="O144"/>
      <c r="P144"/>
      <c r="Q144"/>
    </row>
    <row r="145" spans="1:17">
      <c r="A145"/>
      <c r="B145"/>
      <c r="C145"/>
      <c r="D145"/>
      <c r="E145"/>
      <c r="F145"/>
      <c r="N145"/>
      <c r="O145"/>
      <c r="P145"/>
      <c r="Q145"/>
    </row>
    <row r="146" spans="1:17">
      <c r="A146"/>
      <c r="B146"/>
      <c r="C146"/>
      <c r="D146"/>
      <c r="E146"/>
      <c r="F146"/>
      <c r="N146"/>
      <c r="O146"/>
      <c r="P146"/>
      <c r="Q146"/>
    </row>
    <row r="147" spans="1:17">
      <c r="A147"/>
      <c r="B147"/>
      <c r="C147"/>
      <c r="D147"/>
      <c r="E147"/>
      <c r="F147"/>
      <c r="N147"/>
      <c r="O147"/>
      <c r="P147"/>
      <c r="Q147"/>
    </row>
    <row r="148" spans="1:17">
      <c r="A148"/>
      <c r="B148"/>
      <c r="C148"/>
      <c r="D148"/>
      <c r="E148"/>
      <c r="F148"/>
      <c r="N148"/>
      <c r="O148"/>
      <c r="P148"/>
      <c r="Q148"/>
    </row>
    <row r="149" spans="1:17">
      <c r="A149"/>
      <c r="B149"/>
      <c r="C149"/>
      <c r="D149"/>
      <c r="E149"/>
      <c r="F149"/>
      <c r="N149"/>
      <c r="O149"/>
      <c r="P149"/>
      <c r="Q149"/>
    </row>
    <row r="150" spans="1:17">
      <c r="A150"/>
      <c r="B150"/>
      <c r="C150"/>
      <c r="D150"/>
      <c r="E150"/>
      <c r="F150"/>
      <c r="N150"/>
      <c r="O150"/>
      <c r="P150"/>
      <c r="Q150"/>
    </row>
    <row r="151" spans="1:17">
      <c r="A151"/>
      <c r="B151"/>
      <c r="C151"/>
      <c r="D151"/>
      <c r="E151"/>
      <c r="F151"/>
      <c r="N151"/>
      <c r="O151"/>
      <c r="P151"/>
      <c r="Q151"/>
    </row>
    <row r="152" spans="1:17">
      <c r="A152"/>
      <c r="B152"/>
      <c r="C152"/>
      <c r="D152"/>
      <c r="E152"/>
      <c r="F152"/>
      <c r="N152"/>
      <c r="O152"/>
      <c r="P152"/>
      <c r="Q152"/>
    </row>
    <row r="153" spans="1:17">
      <c r="A153"/>
      <c r="B153"/>
      <c r="C153"/>
      <c r="D153"/>
      <c r="E153"/>
      <c r="F153"/>
      <c r="N153"/>
      <c r="O153"/>
      <c r="P153"/>
      <c r="Q153"/>
    </row>
    <row r="154" spans="1:17">
      <c r="A154"/>
      <c r="B154"/>
      <c r="C154"/>
      <c r="D154"/>
      <c r="E154"/>
      <c r="F154"/>
      <c r="N154"/>
      <c r="O154"/>
      <c r="P154"/>
      <c r="Q154"/>
    </row>
    <row r="155" spans="1:17">
      <c r="A155"/>
      <c r="B155"/>
      <c r="C155"/>
      <c r="D155"/>
      <c r="E155"/>
      <c r="F155"/>
      <c r="N155"/>
      <c r="O155"/>
      <c r="P155"/>
      <c r="Q155"/>
    </row>
    <row r="156" spans="1:17">
      <c r="A156"/>
      <c r="B156"/>
      <c r="C156"/>
      <c r="D156"/>
      <c r="E156"/>
      <c r="F156"/>
      <c r="N156"/>
      <c r="O156"/>
      <c r="P156"/>
      <c r="Q156"/>
    </row>
    <row r="157" spans="1:17">
      <c r="A157"/>
      <c r="B157"/>
      <c r="C157"/>
      <c r="D157"/>
      <c r="E157"/>
      <c r="F157"/>
      <c r="N157"/>
      <c r="O157"/>
      <c r="P157"/>
      <c r="Q157"/>
    </row>
    <row r="158" spans="1:17">
      <c r="A158"/>
      <c r="B158"/>
      <c r="C158"/>
      <c r="D158"/>
      <c r="E158"/>
      <c r="F158"/>
      <c r="N158"/>
      <c r="O158"/>
      <c r="P158"/>
      <c r="Q158"/>
    </row>
    <row r="159" spans="1:17">
      <c r="A159"/>
      <c r="B159"/>
      <c r="C159"/>
      <c r="D159"/>
      <c r="E159"/>
      <c r="F159"/>
      <c r="N159"/>
      <c r="O159"/>
      <c r="P159"/>
      <c r="Q159"/>
    </row>
    <row r="160" spans="1:17">
      <c r="A160"/>
      <c r="B160"/>
      <c r="C160"/>
      <c r="D160"/>
      <c r="E160"/>
      <c r="F160"/>
      <c r="N160"/>
      <c r="O160"/>
      <c r="P160"/>
      <c r="Q160"/>
    </row>
    <row r="161" spans="1:17">
      <c r="A161"/>
      <c r="B161"/>
      <c r="C161"/>
      <c r="D161"/>
      <c r="E161"/>
      <c r="F161"/>
      <c r="N161"/>
      <c r="O161"/>
      <c r="P161"/>
      <c r="Q161"/>
    </row>
    <row r="162" spans="1:17">
      <c r="A162"/>
      <c r="B162"/>
      <c r="C162"/>
      <c r="D162"/>
      <c r="E162"/>
      <c r="F162"/>
      <c r="N162"/>
      <c r="O162"/>
      <c r="P162"/>
      <c r="Q162"/>
    </row>
    <row r="163" spans="1:17">
      <c r="A163"/>
      <c r="B163"/>
      <c r="C163"/>
      <c r="D163"/>
      <c r="E163"/>
      <c r="F163"/>
      <c r="N163"/>
      <c r="O163"/>
      <c r="P163"/>
      <c r="Q163"/>
    </row>
    <row r="164" spans="1:17">
      <c r="A164"/>
      <c r="B164"/>
      <c r="C164"/>
      <c r="D164"/>
      <c r="E164"/>
      <c r="F164"/>
      <c r="N164"/>
      <c r="O164"/>
      <c r="P164"/>
      <c r="Q164"/>
    </row>
    <row r="165" spans="1:17">
      <c r="A165"/>
      <c r="B165"/>
      <c r="C165"/>
      <c r="D165"/>
      <c r="E165"/>
      <c r="F165"/>
      <c r="N165"/>
      <c r="O165"/>
      <c r="P165"/>
      <c r="Q165"/>
    </row>
    <row r="166" spans="1:17">
      <c r="A166"/>
      <c r="B166"/>
      <c r="C166"/>
      <c r="D166"/>
      <c r="E166"/>
      <c r="F166"/>
      <c r="N166"/>
      <c r="O166"/>
      <c r="P166"/>
      <c r="Q166"/>
    </row>
    <row r="167" spans="1:17">
      <c r="A167"/>
      <c r="B167"/>
      <c r="C167"/>
      <c r="D167"/>
      <c r="E167"/>
      <c r="F167"/>
      <c r="N167"/>
      <c r="O167"/>
      <c r="P167"/>
      <c r="Q167"/>
    </row>
    <row r="168" spans="1:17">
      <c r="A168"/>
      <c r="B168"/>
      <c r="C168"/>
      <c r="D168"/>
      <c r="E168"/>
      <c r="F168"/>
      <c r="N168"/>
      <c r="O168"/>
      <c r="P168"/>
      <c r="Q168"/>
    </row>
    <row r="169" spans="1:17">
      <c r="A169"/>
      <c r="B169"/>
      <c r="C169"/>
      <c r="D169"/>
      <c r="E169"/>
      <c r="F169"/>
      <c r="N169"/>
      <c r="O169"/>
      <c r="P169"/>
      <c r="Q169"/>
    </row>
    <row r="170" spans="1:17">
      <c r="A170"/>
      <c r="B170"/>
      <c r="C170"/>
      <c r="D170"/>
      <c r="E170"/>
      <c r="F170"/>
      <c r="N170"/>
      <c r="O170"/>
      <c r="P170"/>
      <c r="Q170"/>
    </row>
    <row r="171" spans="1:17">
      <c r="A171"/>
      <c r="B171"/>
      <c r="C171"/>
      <c r="D171"/>
      <c r="E171"/>
      <c r="F171"/>
      <c r="N171"/>
      <c r="O171"/>
      <c r="P171"/>
      <c r="Q171"/>
    </row>
    <row r="172" spans="1:17">
      <c r="A172"/>
      <c r="B172"/>
      <c r="C172"/>
      <c r="D172"/>
      <c r="E172"/>
      <c r="F172"/>
      <c r="N172"/>
      <c r="O172"/>
      <c r="P172"/>
      <c r="Q172"/>
    </row>
    <row r="173" spans="1:17">
      <c r="A173"/>
      <c r="B173"/>
      <c r="C173"/>
      <c r="D173"/>
      <c r="E173"/>
      <c r="F173"/>
      <c r="N173"/>
      <c r="O173"/>
      <c r="P173"/>
      <c r="Q173"/>
    </row>
    <row r="174" spans="1:17">
      <c r="A174"/>
      <c r="B174"/>
      <c r="C174"/>
      <c r="D174"/>
      <c r="E174"/>
      <c r="F174"/>
      <c r="N174"/>
      <c r="O174"/>
      <c r="P174"/>
      <c r="Q174"/>
    </row>
    <row r="175" spans="1:17">
      <c r="A175"/>
      <c r="B175"/>
      <c r="C175"/>
      <c r="D175"/>
      <c r="E175"/>
      <c r="F175"/>
      <c r="N175"/>
      <c r="O175"/>
      <c r="P175"/>
      <c r="Q175"/>
    </row>
    <row r="176" spans="1:17">
      <c r="A176"/>
      <c r="B176"/>
      <c r="C176"/>
      <c r="D176"/>
      <c r="E176"/>
      <c r="F176"/>
      <c r="N176"/>
      <c r="O176"/>
      <c r="P176"/>
      <c r="Q176"/>
    </row>
    <row r="177" spans="1:17">
      <c r="A177"/>
      <c r="B177"/>
      <c r="C177"/>
      <c r="D177"/>
      <c r="E177"/>
      <c r="F177"/>
      <c r="N177"/>
      <c r="O177"/>
      <c r="P177"/>
      <c r="Q177"/>
    </row>
    <row r="178" spans="1:17">
      <c r="A178"/>
      <c r="B178"/>
      <c r="C178"/>
      <c r="D178"/>
      <c r="E178"/>
      <c r="F178"/>
      <c r="N178"/>
      <c r="O178"/>
      <c r="P178"/>
      <c r="Q178"/>
    </row>
    <row r="179" spans="1:17">
      <c r="A179"/>
      <c r="B179"/>
      <c r="C179"/>
      <c r="D179"/>
      <c r="E179"/>
      <c r="F179"/>
      <c r="N179"/>
      <c r="O179"/>
      <c r="P179"/>
      <c r="Q179"/>
    </row>
    <row r="180" spans="1:17">
      <c r="A180"/>
      <c r="B180"/>
      <c r="C180"/>
      <c r="D180"/>
      <c r="E180"/>
      <c r="F180"/>
      <c r="N180"/>
      <c r="O180"/>
      <c r="P180"/>
      <c r="Q180"/>
    </row>
    <row r="181" spans="1:17">
      <c r="A181"/>
      <c r="B181"/>
      <c r="C181"/>
      <c r="D181"/>
      <c r="E181"/>
      <c r="F181"/>
      <c r="N181"/>
      <c r="O181"/>
      <c r="P181"/>
      <c r="Q181"/>
    </row>
    <row r="182" spans="1:17">
      <c r="A182"/>
      <c r="B182"/>
      <c r="C182"/>
      <c r="D182"/>
      <c r="E182"/>
      <c r="F182"/>
      <c r="N182"/>
      <c r="O182"/>
      <c r="P182"/>
      <c r="Q182"/>
    </row>
    <row r="183" spans="1:17">
      <c r="A183"/>
      <c r="B183"/>
      <c r="C183"/>
      <c r="D183"/>
      <c r="E183"/>
      <c r="F183"/>
      <c r="N183"/>
      <c r="O183"/>
      <c r="P183"/>
      <c r="Q183"/>
    </row>
    <row r="184" spans="1:17">
      <c r="A184"/>
      <c r="B184"/>
      <c r="C184"/>
      <c r="D184"/>
      <c r="E184"/>
      <c r="F184"/>
      <c r="N184"/>
      <c r="O184"/>
      <c r="P184"/>
      <c r="Q184"/>
    </row>
    <row r="185" spans="1:17">
      <c r="A185"/>
      <c r="B185"/>
      <c r="C185"/>
      <c r="D185"/>
      <c r="E185"/>
      <c r="F185"/>
      <c r="M185" s="9"/>
      <c r="N185"/>
      <c r="O185"/>
      <c r="P185"/>
      <c r="Q185"/>
    </row>
    <row r="186" spans="1:17">
      <c r="A186"/>
      <c r="B186"/>
      <c r="C186"/>
      <c r="D186"/>
      <c r="E186"/>
      <c r="F186"/>
      <c r="M186" s="9"/>
      <c r="N186"/>
      <c r="O186"/>
      <c r="P186"/>
      <c r="Q186"/>
    </row>
    <row r="187" spans="1:17">
      <c r="A187"/>
      <c r="B187"/>
      <c r="C187"/>
      <c r="D187"/>
      <c r="E187"/>
      <c r="F187"/>
      <c r="M187" s="9"/>
      <c r="N187"/>
      <c r="O187"/>
      <c r="P187"/>
      <c r="Q187"/>
    </row>
    <row r="188" spans="1:17">
      <c r="A188"/>
      <c r="B188"/>
      <c r="C188"/>
      <c r="D188"/>
      <c r="E188"/>
      <c r="F188"/>
      <c r="M188" s="9"/>
      <c r="N188"/>
      <c r="O188"/>
      <c r="P188"/>
      <c r="Q188"/>
    </row>
    <row r="189" spans="1:17">
      <c r="A189"/>
      <c r="B189"/>
      <c r="C189"/>
      <c r="D189"/>
      <c r="E189"/>
      <c r="F189"/>
      <c r="M189" s="9"/>
      <c r="N189"/>
      <c r="O189"/>
      <c r="P189"/>
      <c r="Q189"/>
    </row>
    <row r="190" spans="1:17">
      <c r="A190"/>
      <c r="B190"/>
      <c r="C190"/>
      <c r="D190"/>
      <c r="E190"/>
      <c r="F190"/>
      <c r="M190" s="9"/>
      <c r="N190"/>
      <c r="O190"/>
      <c r="P190"/>
      <c r="Q190"/>
    </row>
    <row r="191" spans="1:17">
      <c r="A191"/>
      <c r="B191"/>
      <c r="C191"/>
      <c r="D191"/>
      <c r="E191"/>
      <c r="F191"/>
      <c r="M191" s="9"/>
      <c r="N191"/>
      <c r="O191"/>
      <c r="P191"/>
      <c r="Q191"/>
    </row>
    <row r="192" spans="1:17">
      <c r="A192"/>
      <c r="B192"/>
      <c r="C192"/>
      <c r="D192"/>
      <c r="E192"/>
      <c r="F192"/>
      <c r="M192" s="9"/>
      <c r="N192"/>
      <c r="O192"/>
      <c r="P192"/>
      <c r="Q192"/>
    </row>
    <row r="193" spans="1:17">
      <c r="A193"/>
      <c r="B193"/>
      <c r="C193"/>
      <c r="D193"/>
      <c r="E193"/>
      <c r="F193"/>
      <c r="M193" s="9"/>
      <c r="N193"/>
      <c r="O193"/>
      <c r="P193"/>
      <c r="Q193"/>
    </row>
    <row r="194" spans="1:17">
      <c r="A194"/>
      <c r="B194"/>
      <c r="C194"/>
      <c r="D194"/>
      <c r="E194"/>
      <c r="F194"/>
      <c r="M194" s="9"/>
      <c r="N194"/>
      <c r="O194"/>
      <c r="P194"/>
      <c r="Q194"/>
    </row>
    <row r="195" spans="1:17">
      <c r="A195"/>
      <c r="B195"/>
      <c r="C195"/>
      <c r="D195"/>
      <c r="E195"/>
      <c r="F195"/>
      <c r="M195" s="9"/>
      <c r="N195"/>
      <c r="O195"/>
      <c r="P195"/>
      <c r="Q195"/>
    </row>
    <row r="196" spans="1:17">
      <c r="M196" s="9"/>
      <c r="N196"/>
      <c r="O196"/>
      <c r="P196"/>
      <c r="Q196"/>
    </row>
    <row r="197" spans="1:17">
      <c r="M197" s="9"/>
      <c r="N197"/>
      <c r="O197"/>
      <c r="P197"/>
      <c r="Q197"/>
    </row>
    <row r="198" spans="1:17">
      <c r="M198" s="9"/>
      <c r="N198"/>
      <c r="O198"/>
      <c r="P198"/>
      <c r="Q198"/>
    </row>
    <row r="199" spans="1:17">
      <c r="M199" s="9"/>
      <c r="N199"/>
      <c r="O199"/>
      <c r="P199"/>
      <c r="Q199"/>
    </row>
    <row r="200" spans="1:17">
      <c r="M200" s="9"/>
      <c r="N200"/>
      <c r="O200"/>
      <c r="P200"/>
      <c r="Q200"/>
    </row>
    <row r="201" spans="1:17">
      <c r="M201" s="9"/>
      <c r="N201"/>
      <c r="O201"/>
      <c r="P201"/>
      <c r="Q201"/>
    </row>
    <row r="202" spans="1:17">
      <c r="M202" s="9"/>
      <c r="N202"/>
      <c r="O202"/>
      <c r="P202"/>
      <c r="Q202"/>
    </row>
    <row r="203" spans="1:17">
      <c r="M203" s="9"/>
      <c r="N203"/>
      <c r="O203"/>
      <c r="P203"/>
      <c r="Q203"/>
    </row>
    <row r="204" spans="1:17">
      <c r="M204" s="9"/>
      <c r="N204"/>
      <c r="O204"/>
      <c r="P204"/>
      <c r="Q204"/>
    </row>
    <row r="205" spans="1:17">
      <c r="N205"/>
      <c r="O205"/>
      <c r="P205"/>
      <c r="Q205"/>
    </row>
    <row r="206" spans="1:17">
      <c r="N206"/>
      <c r="O206"/>
      <c r="P206"/>
      <c r="Q206"/>
    </row>
    <row r="207" spans="1:17">
      <c r="N207"/>
      <c r="O207"/>
      <c r="P207"/>
      <c r="Q207"/>
    </row>
    <row r="208" spans="1:17">
      <c r="N208"/>
      <c r="O208"/>
      <c r="P208"/>
      <c r="Q208"/>
    </row>
    <row r="209" spans="14:17">
      <c r="N209"/>
      <c r="O209"/>
      <c r="P209"/>
      <c r="Q209"/>
    </row>
    <row r="210" spans="14:17">
      <c r="N210"/>
      <c r="O210"/>
      <c r="P210"/>
      <c r="Q210"/>
    </row>
    <row r="211" spans="14:17">
      <c r="N211"/>
      <c r="O211"/>
      <c r="P211"/>
      <c r="Q211"/>
    </row>
    <row r="212" spans="14:17">
      <c r="N212"/>
      <c r="O212"/>
      <c r="P212"/>
      <c r="Q212"/>
    </row>
    <row r="213" spans="14:17">
      <c r="N213"/>
      <c r="O213"/>
      <c r="P213"/>
      <c r="Q213"/>
    </row>
    <row r="214" spans="14:17">
      <c r="N214"/>
      <c r="O214"/>
      <c r="P214"/>
      <c r="Q214"/>
    </row>
    <row r="215" spans="14:17">
      <c r="N215"/>
      <c r="O215"/>
      <c r="P215"/>
      <c r="Q215"/>
    </row>
    <row r="216" spans="14:17">
      <c r="N216"/>
      <c r="O216"/>
      <c r="P216"/>
      <c r="Q216"/>
    </row>
    <row r="217" spans="14:17">
      <c r="N217"/>
      <c r="O217"/>
      <c r="P217"/>
      <c r="Q217"/>
    </row>
    <row r="218" spans="14:17">
      <c r="N218"/>
      <c r="O218"/>
      <c r="P218"/>
      <c r="Q218"/>
    </row>
    <row r="219" spans="14:17">
      <c r="N219"/>
      <c r="O219"/>
      <c r="P219"/>
      <c r="Q219"/>
    </row>
    <row r="220" spans="14:17">
      <c r="N220"/>
      <c r="O220"/>
      <c r="P220"/>
      <c r="Q220"/>
    </row>
    <row r="221" spans="14:17">
      <c r="N221"/>
      <c r="O221"/>
      <c r="P221"/>
      <c r="Q221"/>
    </row>
    <row r="222" spans="14:17">
      <c r="N222"/>
      <c r="O222"/>
      <c r="P222"/>
      <c r="Q222"/>
    </row>
    <row r="223" spans="14:17">
      <c r="N223"/>
      <c r="O223"/>
      <c r="P223"/>
      <c r="Q223"/>
    </row>
    <row r="224" spans="14:17">
      <c r="N224"/>
      <c r="O224"/>
      <c r="P224"/>
      <c r="Q224"/>
    </row>
    <row r="225" spans="14:17">
      <c r="N225"/>
      <c r="O225"/>
      <c r="P225"/>
      <c r="Q225"/>
    </row>
    <row r="226" spans="14:17">
      <c r="N226"/>
      <c r="O226"/>
      <c r="P226"/>
      <c r="Q226"/>
    </row>
    <row r="227" spans="14:17">
      <c r="N227"/>
      <c r="O227"/>
      <c r="P227"/>
      <c r="Q227"/>
    </row>
    <row r="228" spans="14:17">
      <c r="N228"/>
      <c r="O228"/>
      <c r="P228"/>
      <c r="Q228"/>
    </row>
    <row r="229" spans="14:17">
      <c r="N229"/>
      <c r="O229"/>
      <c r="P229"/>
      <c r="Q229"/>
    </row>
    <row r="230" spans="14:17">
      <c r="N230"/>
      <c r="O230"/>
      <c r="P230"/>
      <c r="Q230"/>
    </row>
    <row r="231" spans="14:17">
      <c r="N231"/>
      <c r="O231"/>
      <c r="P231"/>
      <c r="Q231"/>
    </row>
    <row r="232" spans="14:17">
      <c r="N232"/>
      <c r="O232"/>
      <c r="P232"/>
      <c r="Q232"/>
    </row>
    <row r="233" spans="14:17">
      <c r="N233"/>
      <c r="O233"/>
      <c r="P233"/>
      <c r="Q233"/>
    </row>
    <row r="234" spans="14:17">
      <c r="N234"/>
      <c r="O234"/>
      <c r="P234"/>
      <c r="Q234"/>
    </row>
    <row r="235" spans="14:17">
      <c r="N235"/>
      <c r="O235"/>
      <c r="P235"/>
      <c r="Q235"/>
    </row>
    <row r="236" spans="14:17">
      <c r="N236"/>
      <c r="O236"/>
      <c r="P236"/>
      <c r="Q236"/>
    </row>
    <row r="237" spans="14:17">
      <c r="N237"/>
      <c r="O237"/>
      <c r="P237"/>
      <c r="Q237"/>
    </row>
    <row r="238" spans="14:17">
      <c r="N238"/>
      <c r="O238"/>
      <c r="P238"/>
      <c r="Q238"/>
    </row>
    <row r="239" spans="14:17">
      <c r="N239"/>
      <c r="O239"/>
      <c r="P239"/>
      <c r="Q239"/>
    </row>
    <row r="240" spans="14:17">
      <c r="N240"/>
      <c r="O240"/>
      <c r="P240"/>
      <c r="Q240"/>
    </row>
    <row r="241" spans="14:17">
      <c r="N241"/>
      <c r="O241"/>
      <c r="P241"/>
      <c r="Q241"/>
    </row>
    <row r="242" spans="14:17">
      <c r="N242"/>
      <c r="O242"/>
      <c r="P242"/>
      <c r="Q242"/>
    </row>
    <row r="243" spans="14:17">
      <c r="N243"/>
      <c r="O243"/>
      <c r="P243"/>
      <c r="Q243"/>
    </row>
    <row r="244" spans="14:17">
      <c r="N244"/>
      <c r="O244"/>
      <c r="P244"/>
      <c r="Q244"/>
    </row>
    <row r="245" spans="14:17">
      <c r="N245"/>
      <c r="O245"/>
      <c r="P245"/>
      <c r="Q245"/>
    </row>
    <row r="246" spans="14:17">
      <c r="N246"/>
      <c r="O246"/>
      <c r="P246"/>
      <c r="Q246"/>
    </row>
    <row r="247" spans="14:17">
      <c r="N247"/>
      <c r="O247"/>
      <c r="P247"/>
      <c r="Q247"/>
    </row>
    <row r="248" spans="14:17">
      <c r="N248"/>
      <c r="O248"/>
      <c r="P248"/>
      <c r="Q248"/>
    </row>
    <row r="249" spans="14:17">
      <c r="N249"/>
      <c r="O249"/>
      <c r="P249"/>
      <c r="Q249"/>
    </row>
    <row r="250" spans="14:17">
      <c r="N250"/>
      <c r="O250"/>
      <c r="P250"/>
      <c r="Q250"/>
    </row>
    <row r="251" spans="14:17">
      <c r="N251"/>
      <c r="O251"/>
      <c r="P251"/>
      <c r="Q251"/>
    </row>
    <row r="252" spans="14:17">
      <c r="N252"/>
      <c r="O252"/>
      <c r="P252"/>
      <c r="Q252"/>
    </row>
    <row r="253" spans="14:17">
      <c r="N253"/>
      <c r="O253"/>
      <c r="P253"/>
      <c r="Q253"/>
    </row>
    <row r="254" spans="14:17">
      <c r="N254"/>
      <c r="O254"/>
      <c r="P254"/>
      <c r="Q254"/>
    </row>
    <row r="255" spans="14:17">
      <c r="N255"/>
      <c r="O255"/>
      <c r="P255"/>
      <c r="Q255"/>
    </row>
    <row r="256" spans="14:17">
      <c r="N256"/>
      <c r="O256"/>
      <c r="P256"/>
      <c r="Q256"/>
    </row>
    <row r="257" spans="14:17">
      <c r="N257"/>
      <c r="O257"/>
      <c r="P257"/>
      <c r="Q257"/>
    </row>
    <row r="258" spans="14:17">
      <c r="N258"/>
      <c r="O258"/>
      <c r="P258"/>
      <c r="Q258"/>
    </row>
    <row r="259" spans="14:17">
      <c r="N259"/>
      <c r="O259"/>
      <c r="P259"/>
      <c r="Q259"/>
    </row>
    <row r="260" spans="14:17">
      <c r="N260"/>
      <c r="O260"/>
      <c r="P260"/>
      <c r="Q260"/>
    </row>
    <row r="261" spans="14:17">
      <c r="N261"/>
      <c r="O261"/>
      <c r="P261"/>
      <c r="Q261"/>
    </row>
    <row r="262" spans="14:17">
      <c r="N262"/>
      <c r="O262"/>
      <c r="P262"/>
      <c r="Q262"/>
    </row>
    <row r="263" spans="14:17">
      <c r="N263"/>
      <c r="O263"/>
      <c r="P263"/>
      <c r="Q263"/>
    </row>
    <row r="264" spans="14:17">
      <c r="N264"/>
      <c r="O264"/>
      <c r="P264"/>
      <c r="Q264"/>
    </row>
    <row r="265" spans="14:17">
      <c r="N265"/>
      <c r="O265"/>
      <c r="P265"/>
      <c r="Q265"/>
    </row>
    <row r="266" spans="14:17">
      <c r="N266"/>
      <c r="O266"/>
      <c r="P266"/>
      <c r="Q266"/>
    </row>
    <row r="267" spans="14:17">
      <c r="N267"/>
      <c r="O267"/>
      <c r="P267"/>
      <c r="Q267"/>
    </row>
    <row r="268" spans="14:17">
      <c r="N268"/>
      <c r="O268"/>
      <c r="P268"/>
      <c r="Q268"/>
    </row>
    <row r="269" spans="14:17">
      <c r="N269"/>
      <c r="O269"/>
      <c r="P269"/>
      <c r="Q269"/>
    </row>
    <row r="270" spans="14:17">
      <c r="N270"/>
      <c r="O270"/>
      <c r="P270"/>
      <c r="Q270"/>
    </row>
    <row r="271" spans="14:17">
      <c r="N271"/>
      <c r="O271"/>
      <c r="P271"/>
      <c r="Q271"/>
    </row>
    <row r="272" spans="14:17">
      <c r="N272"/>
      <c r="O272"/>
      <c r="P272"/>
      <c r="Q272"/>
    </row>
    <row r="273" spans="14:17">
      <c r="N273"/>
      <c r="O273"/>
      <c r="P273"/>
      <c r="Q273"/>
    </row>
    <row r="274" spans="14:17">
      <c r="N274"/>
      <c r="O274"/>
      <c r="P274"/>
      <c r="Q274"/>
    </row>
    <row r="275" spans="14:17">
      <c r="N275"/>
      <c r="O275"/>
      <c r="P275"/>
      <c r="Q275"/>
    </row>
    <row r="276" spans="14:17">
      <c r="N276"/>
      <c r="O276"/>
      <c r="P276"/>
      <c r="Q276"/>
    </row>
    <row r="277" spans="14:17">
      <c r="N277"/>
      <c r="O277"/>
      <c r="P277"/>
      <c r="Q277"/>
    </row>
    <row r="278" spans="14:17">
      <c r="N278"/>
      <c r="O278"/>
      <c r="P278"/>
      <c r="Q278"/>
    </row>
    <row r="279" spans="14:17">
      <c r="N279"/>
      <c r="O279"/>
      <c r="P279"/>
      <c r="Q279"/>
    </row>
    <row r="280" spans="14:17">
      <c r="N280"/>
      <c r="O280"/>
      <c r="P280"/>
      <c r="Q280"/>
    </row>
    <row r="281" spans="14:17">
      <c r="N281"/>
      <c r="O281"/>
      <c r="P281"/>
      <c r="Q281"/>
    </row>
    <row r="282" spans="14:17">
      <c r="N282"/>
      <c r="O282"/>
      <c r="P282"/>
      <c r="Q282"/>
    </row>
    <row r="283" spans="14:17">
      <c r="N283"/>
      <c r="O283"/>
      <c r="P283"/>
      <c r="Q283"/>
    </row>
    <row r="284" spans="14:17">
      <c r="N284"/>
      <c r="O284"/>
      <c r="P284"/>
      <c r="Q284"/>
    </row>
    <row r="285" spans="14:17">
      <c r="N285"/>
      <c r="O285"/>
      <c r="P285"/>
      <c r="Q285"/>
    </row>
    <row r="286" spans="14:17">
      <c r="N286"/>
      <c r="O286"/>
      <c r="P286"/>
      <c r="Q286"/>
    </row>
    <row r="287" spans="14:17">
      <c r="N287"/>
      <c r="O287"/>
      <c r="P287"/>
      <c r="Q287"/>
    </row>
    <row r="288" spans="14:17">
      <c r="N288"/>
      <c r="O288"/>
      <c r="P288"/>
      <c r="Q288"/>
    </row>
    <row r="289" spans="14:17">
      <c r="N289"/>
      <c r="O289"/>
      <c r="P289"/>
      <c r="Q289"/>
    </row>
    <row r="290" spans="14:17">
      <c r="N290"/>
      <c r="O290"/>
      <c r="P290"/>
      <c r="Q290"/>
    </row>
    <row r="291" spans="14:17">
      <c r="N291"/>
      <c r="O291"/>
      <c r="P291"/>
      <c r="Q291"/>
    </row>
    <row r="292" spans="14:17">
      <c r="N292"/>
      <c r="O292"/>
      <c r="P292"/>
      <c r="Q292"/>
    </row>
    <row r="293" spans="14:17">
      <c r="N293"/>
      <c r="O293"/>
      <c r="P293"/>
      <c r="Q293"/>
    </row>
    <row r="294" spans="14:17">
      <c r="N294"/>
      <c r="O294"/>
      <c r="P294"/>
      <c r="Q294"/>
    </row>
    <row r="295" spans="14:17">
      <c r="N295"/>
      <c r="O295"/>
      <c r="P295"/>
      <c r="Q295"/>
    </row>
    <row r="296" spans="14:17">
      <c r="N296"/>
      <c r="O296"/>
      <c r="P296"/>
      <c r="Q296"/>
    </row>
    <row r="297" spans="14:17">
      <c r="N297"/>
      <c r="O297"/>
      <c r="P297"/>
      <c r="Q297"/>
    </row>
    <row r="298" spans="14:17">
      <c r="N298"/>
      <c r="O298"/>
      <c r="P298"/>
      <c r="Q298"/>
    </row>
    <row r="299" spans="14:17">
      <c r="N299"/>
      <c r="O299"/>
      <c r="P299"/>
      <c r="Q299"/>
    </row>
    <row r="300" spans="14:17">
      <c r="N300"/>
      <c r="O300"/>
      <c r="P300"/>
      <c r="Q300"/>
    </row>
    <row r="301" spans="14:17">
      <c r="N301"/>
      <c r="O301"/>
      <c r="P301"/>
      <c r="Q301"/>
    </row>
    <row r="302" spans="14:17">
      <c r="N302"/>
      <c r="O302"/>
      <c r="P302"/>
      <c r="Q302"/>
    </row>
    <row r="303" spans="14:17">
      <c r="N303"/>
      <c r="O303"/>
      <c r="P303"/>
      <c r="Q303"/>
    </row>
    <row r="304" spans="14:17">
      <c r="N304"/>
      <c r="O304"/>
      <c r="P304"/>
      <c r="Q304"/>
    </row>
    <row r="305" spans="14:17">
      <c r="N305"/>
      <c r="O305"/>
      <c r="P305"/>
      <c r="Q305"/>
    </row>
    <row r="306" spans="14:17">
      <c r="N306"/>
      <c r="O306"/>
      <c r="P306"/>
      <c r="Q306"/>
    </row>
    <row r="307" spans="14:17">
      <c r="N307"/>
      <c r="O307"/>
      <c r="P307"/>
      <c r="Q307"/>
    </row>
    <row r="308" spans="14:17">
      <c r="N308"/>
      <c r="O308"/>
      <c r="P308"/>
      <c r="Q308"/>
    </row>
    <row r="309" spans="14:17">
      <c r="N309"/>
      <c r="O309"/>
      <c r="P309"/>
      <c r="Q309"/>
    </row>
    <row r="310" spans="14:17">
      <c r="N310"/>
      <c r="O310"/>
      <c r="P310"/>
      <c r="Q310"/>
    </row>
    <row r="311" spans="14:17">
      <c r="N311"/>
      <c r="O311"/>
      <c r="P311"/>
      <c r="Q311"/>
    </row>
    <row r="312" spans="14:17">
      <c r="N312"/>
      <c r="O312"/>
      <c r="P312"/>
      <c r="Q312"/>
    </row>
    <row r="313" spans="14:17">
      <c r="N313"/>
      <c r="O313"/>
      <c r="P313"/>
      <c r="Q313"/>
    </row>
    <row r="314" spans="14:17">
      <c r="N314"/>
      <c r="O314"/>
      <c r="P314"/>
      <c r="Q314"/>
    </row>
    <row r="315" spans="14:17">
      <c r="N315"/>
      <c r="O315"/>
      <c r="P315"/>
      <c r="Q315"/>
    </row>
    <row r="316" spans="14:17">
      <c r="N316"/>
      <c r="O316"/>
      <c r="P316"/>
      <c r="Q316"/>
    </row>
    <row r="317" spans="14:17">
      <c r="N317"/>
      <c r="O317"/>
      <c r="P317"/>
      <c r="Q317"/>
    </row>
    <row r="318" spans="14:17">
      <c r="N318"/>
      <c r="O318"/>
      <c r="P318"/>
      <c r="Q318"/>
    </row>
    <row r="319" spans="14:17">
      <c r="N319"/>
      <c r="O319"/>
      <c r="P319"/>
      <c r="Q319"/>
    </row>
    <row r="320" spans="14:17">
      <c r="N320"/>
      <c r="O320"/>
      <c r="P320"/>
      <c r="Q320"/>
    </row>
    <row r="321" spans="14:17">
      <c r="N321"/>
      <c r="O321"/>
      <c r="P321"/>
      <c r="Q321"/>
    </row>
    <row r="322" spans="14:17">
      <c r="N322"/>
      <c r="O322"/>
      <c r="P322"/>
      <c r="Q322"/>
    </row>
    <row r="323" spans="14:17">
      <c r="N323"/>
      <c r="O323"/>
      <c r="P323"/>
      <c r="Q323"/>
    </row>
    <row r="324" spans="14:17">
      <c r="N324"/>
      <c r="O324"/>
      <c r="P324"/>
      <c r="Q324"/>
    </row>
    <row r="325" spans="14:17">
      <c r="N325"/>
      <c r="O325"/>
      <c r="P325"/>
      <c r="Q325"/>
    </row>
    <row r="326" spans="14:17">
      <c r="N326"/>
      <c r="O326"/>
      <c r="P326"/>
      <c r="Q326"/>
    </row>
    <row r="327" spans="14:17">
      <c r="N327"/>
      <c r="O327"/>
      <c r="P327"/>
      <c r="Q327"/>
    </row>
    <row r="328" spans="14:17">
      <c r="N328"/>
      <c r="O328"/>
      <c r="P328"/>
      <c r="Q328"/>
    </row>
    <row r="329" spans="14:17">
      <c r="N329"/>
      <c r="O329"/>
      <c r="P329"/>
      <c r="Q329"/>
    </row>
    <row r="330" spans="14:17">
      <c r="N330"/>
      <c r="O330"/>
      <c r="P330"/>
      <c r="Q330"/>
    </row>
    <row r="331" spans="14:17">
      <c r="N331"/>
      <c r="O331"/>
      <c r="P331"/>
      <c r="Q331"/>
    </row>
    <row r="332" spans="14:17">
      <c r="N332"/>
      <c r="O332"/>
      <c r="P332"/>
      <c r="Q332"/>
    </row>
    <row r="333" spans="14:17">
      <c r="N333"/>
      <c r="O333"/>
      <c r="P333"/>
      <c r="Q333"/>
    </row>
    <row r="334" spans="14:17">
      <c r="N334"/>
      <c r="O334"/>
      <c r="P334"/>
      <c r="Q334"/>
    </row>
    <row r="335" spans="14:17">
      <c r="N335"/>
      <c r="O335"/>
      <c r="P335"/>
      <c r="Q335"/>
    </row>
    <row r="336" spans="14:17">
      <c r="N336"/>
      <c r="O336"/>
      <c r="P336"/>
      <c r="Q336"/>
    </row>
    <row r="337" spans="14:17">
      <c r="N337"/>
      <c r="O337"/>
      <c r="P337"/>
      <c r="Q337"/>
    </row>
    <row r="338" spans="14:17">
      <c r="N338"/>
      <c r="O338"/>
      <c r="P338"/>
      <c r="Q338"/>
    </row>
    <row r="339" spans="14:17">
      <c r="N339"/>
      <c r="O339"/>
      <c r="P339"/>
      <c r="Q339"/>
    </row>
    <row r="340" spans="14:17">
      <c r="N340"/>
      <c r="O340"/>
      <c r="P340"/>
      <c r="Q340"/>
    </row>
    <row r="341" spans="14:17">
      <c r="N341"/>
      <c r="O341"/>
      <c r="P341"/>
      <c r="Q341"/>
    </row>
    <row r="342" spans="14:17">
      <c r="N342"/>
      <c r="O342"/>
      <c r="P342"/>
      <c r="Q342"/>
    </row>
    <row r="343" spans="14:17">
      <c r="N343"/>
      <c r="O343"/>
      <c r="P343"/>
      <c r="Q343"/>
    </row>
    <row r="344" spans="14:17">
      <c r="N344"/>
      <c r="O344"/>
      <c r="P344"/>
      <c r="Q344"/>
    </row>
    <row r="345" spans="14:17">
      <c r="N345"/>
      <c r="O345"/>
      <c r="P345"/>
      <c r="Q345"/>
    </row>
    <row r="346" spans="14:17">
      <c r="N346"/>
      <c r="O346"/>
      <c r="P346"/>
      <c r="Q346"/>
    </row>
    <row r="347" spans="14:17">
      <c r="N347"/>
      <c r="O347"/>
      <c r="P347"/>
      <c r="Q347"/>
    </row>
    <row r="348" spans="14:17">
      <c r="N348"/>
      <c r="O348"/>
      <c r="P348"/>
      <c r="Q348"/>
    </row>
    <row r="349" spans="14:17">
      <c r="N349"/>
      <c r="O349"/>
      <c r="P349"/>
      <c r="Q349"/>
    </row>
    <row r="350" spans="14:17">
      <c r="N350"/>
      <c r="O350"/>
      <c r="P350"/>
      <c r="Q350"/>
    </row>
    <row r="351" spans="14:17">
      <c r="N351"/>
      <c r="O351"/>
      <c r="P351"/>
      <c r="Q351"/>
    </row>
    <row r="352" spans="14:17">
      <c r="N352"/>
      <c r="O352"/>
      <c r="P352"/>
      <c r="Q352"/>
    </row>
    <row r="353" spans="14:17">
      <c r="N353"/>
      <c r="O353"/>
      <c r="P353"/>
      <c r="Q353"/>
    </row>
    <row r="354" spans="14:17">
      <c r="N354"/>
      <c r="O354"/>
      <c r="P354"/>
      <c r="Q354"/>
    </row>
    <row r="355" spans="14:17">
      <c r="N355"/>
      <c r="O355"/>
      <c r="P355"/>
      <c r="Q355"/>
    </row>
    <row r="356" spans="14:17">
      <c r="N356"/>
      <c r="O356"/>
      <c r="P356"/>
      <c r="Q356"/>
    </row>
    <row r="357" spans="14:17">
      <c r="N357"/>
      <c r="O357"/>
      <c r="P357"/>
      <c r="Q357"/>
    </row>
    <row r="358" spans="14:17">
      <c r="N358"/>
      <c r="O358"/>
      <c r="P358"/>
      <c r="Q358"/>
    </row>
    <row r="359" spans="14:17">
      <c r="N359"/>
      <c r="O359"/>
      <c r="P359"/>
      <c r="Q359"/>
    </row>
    <row r="360" spans="14:17">
      <c r="N360"/>
      <c r="O360"/>
      <c r="P360"/>
      <c r="Q360"/>
    </row>
    <row r="361" spans="14:17">
      <c r="N361"/>
      <c r="O361"/>
      <c r="P361"/>
      <c r="Q361"/>
    </row>
    <row r="362" spans="14:17">
      <c r="N362"/>
      <c r="O362"/>
      <c r="P362"/>
      <c r="Q362"/>
    </row>
    <row r="363" spans="14:17">
      <c r="N363"/>
      <c r="O363"/>
      <c r="P363"/>
      <c r="Q363"/>
    </row>
    <row r="364" spans="14:17">
      <c r="N364"/>
      <c r="O364"/>
      <c r="P364"/>
      <c r="Q364"/>
    </row>
    <row r="365" spans="14:17">
      <c r="N365"/>
      <c r="O365"/>
      <c r="P365"/>
      <c r="Q365"/>
    </row>
    <row r="366" spans="14:17">
      <c r="N366"/>
      <c r="O366"/>
      <c r="P366"/>
      <c r="Q366"/>
    </row>
    <row r="367" spans="14:17">
      <c r="N367"/>
      <c r="O367"/>
      <c r="P367"/>
      <c r="Q367"/>
    </row>
    <row r="368" spans="14:17">
      <c r="N368"/>
      <c r="O368"/>
      <c r="P368"/>
      <c r="Q368"/>
    </row>
    <row r="369" spans="14:17">
      <c r="N369"/>
      <c r="O369"/>
      <c r="P369"/>
      <c r="Q369"/>
    </row>
    <row r="370" spans="14:17">
      <c r="N370"/>
      <c r="O370"/>
      <c r="P370"/>
      <c r="Q370"/>
    </row>
    <row r="371" spans="14:17">
      <c r="N371"/>
      <c r="O371"/>
      <c r="P371"/>
      <c r="Q371"/>
    </row>
    <row r="372" spans="14:17">
      <c r="N372"/>
      <c r="O372"/>
      <c r="P372"/>
      <c r="Q372"/>
    </row>
    <row r="373" spans="14:17">
      <c r="N373"/>
      <c r="O373"/>
      <c r="P373"/>
      <c r="Q373"/>
    </row>
    <row r="374" spans="14:17">
      <c r="N374"/>
      <c r="O374"/>
      <c r="P374"/>
      <c r="Q374"/>
    </row>
    <row r="375" spans="14:17">
      <c r="N375"/>
      <c r="O375"/>
      <c r="P375"/>
      <c r="Q375"/>
    </row>
    <row r="376" spans="14:17">
      <c r="N376"/>
      <c r="O376"/>
      <c r="P376"/>
      <c r="Q376"/>
    </row>
    <row r="377" spans="14:17">
      <c r="N377"/>
      <c r="O377"/>
      <c r="P377"/>
      <c r="Q377"/>
    </row>
    <row r="378" spans="14:17">
      <c r="N378"/>
      <c r="O378"/>
      <c r="P378"/>
      <c r="Q378"/>
    </row>
    <row r="379" spans="14:17">
      <c r="N379"/>
      <c r="O379"/>
      <c r="P379"/>
      <c r="Q379"/>
    </row>
    <row r="380" spans="14:17">
      <c r="N380"/>
      <c r="O380"/>
      <c r="P380"/>
      <c r="Q380"/>
    </row>
    <row r="381" spans="14:17">
      <c r="N381"/>
      <c r="O381"/>
      <c r="P381"/>
      <c r="Q381"/>
    </row>
    <row r="382" spans="14:17">
      <c r="N382"/>
      <c r="O382"/>
      <c r="P382"/>
      <c r="Q382"/>
    </row>
    <row r="383" spans="14:17">
      <c r="N383"/>
      <c r="O383"/>
      <c r="P383"/>
      <c r="Q383"/>
    </row>
    <row r="384" spans="14:17">
      <c r="N384"/>
      <c r="O384"/>
      <c r="P384"/>
      <c r="Q384"/>
    </row>
    <row r="385" spans="14:17">
      <c r="N385"/>
      <c r="O385"/>
      <c r="P385"/>
      <c r="Q385"/>
    </row>
    <row r="386" spans="14:17">
      <c r="N386"/>
      <c r="O386"/>
      <c r="P386"/>
      <c r="Q386"/>
    </row>
    <row r="387" spans="14:17">
      <c r="N387"/>
      <c r="O387"/>
      <c r="P387"/>
      <c r="Q387"/>
    </row>
    <row r="388" spans="14:17">
      <c r="N388"/>
      <c r="O388"/>
      <c r="P388"/>
      <c r="Q388"/>
    </row>
    <row r="389" spans="14:17">
      <c r="N389"/>
      <c r="O389"/>
      <c r="P389"/>
      <c r="Q389"/>
    </row>
    <row r="390" spans="14:17">
      <c r="N390"/>
      <c r="O390"/>
      <c r="P390"/>
      <c r="Q390"/>
    </row>
    <row r="391" spans="14:17">
      <c r="N391"/>
      <c r="O391"/>
      <c r="P391"/>
      <c r="Q391"/>
    </row>
    <row r="392" spans="14:17">
      <c r="N392"/>
      <c r="O392"/>
      <c r="P392"/>
      <c r="Q392"/>
    </row>
    <row r="393" spans="14:17">
      <c r="N393"/>
      <c r="O393"/>
      <c r="P393"/>
      <c r="Q393"/>
    </row>
    <row r="394" spans="14:17">
      <c r="N394"/>
      <c r="O394"/>
      <c r="P394"/>
      <c r="Q394"/>
    </row>
    <row r="395" spans="14:17">
      <c r="N395"/>
      <c r="O395"/>
      <c r="P395"/>
      <c r="Q395"/>
    </row>
    <row r="396" spans="14:17">
      <c r="N396"/>
      <c r="O396"/>
      <c r="P396"/>
      <c r="Q396"/>
    </row>
    <row r="397" spans="14:17">
      <c r="N397"/>
      <c r="O397"/>
      <c r="P397"/>
      <c r="Q397"/>
    </row>
    <row r="398" spans="14:17">
      <c r="N398"/>
      <c r="O398"/>
      <c r="P398"/>
      <c r="Q398"/>
    </row>
    <row r="399" spans="14:17">
      <c r="N399"/>
      <c r="O399"/>
      <c r="P399"/>
      <c r="Q399"/>
    </row>
    <row r="400" spans="14:17">
      <c r="N400"/>
      <c r="O400"/>
      <c r="P400"/>
      <c r="Q400"/>
    </row>
    <row r="401" spans="14:17">
      <c r="N401"/>
      <c r="O401"/>
      <c r="P401"/>
      <c r="Q401"/>
    </row>
    <row r="402" spans="14:17">
      <c r="N402"/>
      <c r="O402"/>
      <c r="P402"/>
      <c r="Q402"/>
    </row>
    <row r="403" spans="14:17">
      <c r="N403"/>
      <c r="O403"/>
      <c r="P403"/>
      <c r="Q403"/>
    </row>
    <row r="404" spans="14:17">
      <c r="N404"/>
      <c r="O404"/>
      <c r="P404"/>
      <c r="Q404"/>
    </row>
    <row r="405" spans="14:17">
      <c r="N405"/>
      <c r="O405"/>
      <c r="P405"/>
      <c r="Q405"/>
    </row>
    <row r="406" spans="14:17">
      <c r="N406"/>
      <c r="O406"/>
      <c r="P406"/>
      <c r="Q406"/>
    </row>
    <row r="407" spans="14:17">
      <c r="N407"/>
      <c r="O407"/>
      <c r="P407"/>
      <c r="Q407"/>
    </row>
    <row r="408" spans="14:17">
      <c r="N408"/>
      <c r="O408"/>
      <c r="P408"/>
      <c r="Q408"/>
    </row>
    <row r="409" spans="14:17">
      <c r="N409"/>
      <c r="O409"/>
      <c r="P409"/>
      <c r="Q409"/>
    </row>
    <row r="410" spans="14:17">
      <c r="N410"/>
      <c r="O410"/>
      <c r="P410"/>
      <c r="Q410"/>
    </row>
    <row r="411" spans="14:17">
      <c r="N411"/>
      <c r="O411"/>
      <c r="P411"/>
      <c r="Q411"/>
    </row>
    <row r="412" spans="14:17">
      <c r="N412"/>
      <c r="O412"/>
      <c r="P412"/>
      <c r="Q412"/>
    </row>
    <row r="413" spans="14:17">
      <c r="N413"/>
      <c r="O413"/>
      <c r="P413"/>
      <c r="Q413"/>
    </row>
    <row r="414" spans="14:17">
      <c r="N414"/>
      <c r="O414"/>
      <c r="P414"/>
      <c r="Q414"/>
    </row>
    <row r="415" spans="14:17">
      <c r="N415"/>
      <c r="O415"/>
      <c r="P415"/>
      <c r="Q415"/>
    </row>
    <row r="416" spans="14:17">
      <c r="N416"/>
      <c r="O416"/>
      <c r="P416"/>
      <c r="Q416"/>
    </row>
    <row r="417" spans="14:17">
      <c r="N417"/>
      <c r="O417"/>
      <c r="P417"/>
      <c r="Q417"/>
    </row>
    <row r="418" spans="14:17">
      <c r="N418"/>
      <c r="O418"/>
      <c r="P418"/>
      <c r="Q418"/>
    </row>
    <row r="419" spans="14:17">
      <c r="N419"/>
      <c r="O419"/>
      <c r="P419"/>
      <c r="Q419"/>
    </row>
    <row r="420" spans="14:17">
      <c r="N420"/>
      <c r="O420"/>
      <c r="P420"/>
      <c r="Q420"/>
    </row>
    <row r="421" spans="14:17">
      <c r="N421"/>
      <c r="O421"/>
      <c r="P421"/>
      <c r="Q421"/>
    </row>
    <row r="422" spans="14:17">
      <c r="N422"/>
      <c r="O422"/>
      <c r="P422"/>
      <c r="Q422"/>
    </row>
    <row r="423" spans="14:17">
      <c r="N423"/>
      <c r="O423"/>
      <c r="P423"/>
      <c r="Q423"/>
    </row>
    <row r="424" spans="14:17">
      <c r="N424"/>
      <c r="O424"/>
      <c r="P424"/>
      <c r="Q424"/>
    </row>
    <row r="425" spans="14:17">
      <c r="N425"/>
      <c r="O425"/>
      <c r="P425"/>
      <c r="Q425"/>
    </row>
    <row r="426" spans="14:17">
      <c r="N426"/>
      <c r="O426"/>
      <c r="P426"/>
      <c r="Q426"/>
    </row>
    <row r="427" spans="14:17">
      <c r="N427"/>
      <c r="O427"/>
      <c r="P427"/>
      <c r="Q427"/>
    </row>
    <row r="428" spans="14:17">
      <c r="N428"/>
      <c r="O428"/>
      <c r="P428"/>
      <c r="Q428"/>
    </row>
    <row r="429" spans="14:17">
      <c r="N429"/>
      <c r="O429"/>
      <c r="P429"/>
      <c r="Q429"/>
    </row>
    <row r="430" spans="14:17">
      <c r="N430"/>
      <c r="O430"/>
      <c r="P430"/>
      <c r="Q430"/>
    </row>
    <row r="431" spans="14:17">
      <c r="N431"/>
      <c r="O431"/>
      <c r="P431"/>
      <c r="Q431"/>
    </row>
    <row r="432" spans="14:17">
      <c r="N432"/>
      <c r="O432"/>
      <c r="P432"/>
      <c r="Q432"/>
    </row>
    <row r="433" spans="14:17">
      <c r="N433"/>
      <c r="O433"/>
      <c r="P433"/>
      <c r="Q433"/>
    </row>
    <row r="434" spans="14:17">
      <c r="N434"/>
      <c r="O434"/>
      <c r="P434"/>
      <c r="Q434"/>
    </row>
    <row r="435" spans="14:17">
      <c r="N435"/>
      <c r="O435"/>
      <c r="P435"/>
      <c r="Q435"/>
    </row>
    <row r="436" spans="14:17">
      <c r="N436"/>
      <c r="O436"/>
      <c r="P436"/>
      <c r="Q436"/>
    </row>
    <row r="437" spans="14:17">
      <c r="N437"/>
      <c r="O437"/>
      <c r="P437"/>
      <c r="Q437"/>
    </row>
    <row r="438" spans="14:17">
      <c r="N438"/>
      <c r="O438"/>
      <c r="P438"/>
      <c r="Q438"/>
    </row>
    <row r="439" spans="14:17">
      <c r="N439"/>
      <c r="O439"/>
      <c r="P439"/>
      <c r="Q439"/>
    </row>
    <row r="440" spans="14:17">
      <c r="N440"/>
      <c r="O440"/>
      <c r="P440"/>
      <c r="Q440"/>
    </row>
    <row r="441" spans="14:17">
      <c r="N441"/>
      <c r="O441"/>
      <c r="P441"/>
      <c r="Q441"/>
    </row>
    <row r="442" spans="14:17">
      <c r="N442"/>
      <c r="O442"/>
      <c r="P442"/>
      <c r="Q442"/>
    </row>
    <row r="443" spans="14:17">
      <c r="N443"/>
      <c r="O443"/>
      <c r="P443"/>
      <c r="Q443"/>
    </row>
    <row r="444" spans="14:17">
      <c r="N444"/>
      <c r="O444"/>
      <c r="P444"/>
      <c r="Q444"/>
    </row>
    <row r="445" spans="14:17">
      <c r="N445"/>
      <c r="O445"/>
      <c r="P445"/>
      <c r="Q445"/>
    </row>
    <row r="446" spans="14:17">
      <c r="N446"/>
      <c r="O446"/>
      <c r="P446"/>
      <c r="Q446"/>
    </row>
    <row r="447" spans="14:17">
      <c r="N447"/>
      <c r="O447"/>
      <c r="P447"/>
      <c r="Q447"/>
    </row>
    <row r="448" spans="14:17">
      <c r="N448"/>
      <c r="O448"/>
      <c r="P448"/>
      <c r="Q448"/>
    </row>
    <row r="449" spans="14:17">
      <c r="N449"/>
      <c r="O449"/>
      <c r="P449"/>
      <c r="Q449"/>
    </row>
    <row r="450" spans="14:17">
      <c r="N450"/>
      <c r="O450"/>
      <c r="P450"/>
      <c r="Q450"/>
    </row>
    <row r="451" spans="14:17">
      <c r="N451"/>
      <c r="O451"/>
      <c r="P451"/>
      <c r="Q451"/>
    </row>
    <row r="452" spans="14:17">
      <c r="N452"/>
      <c r="O452"/>
      <c r="P452"/>
      <c r="Q452"/>
    </row>
    <row r="453" spans="14:17">
      <c r="N453"/>
      <c r="O453"/>
      <c r="P453"/>
      <c r="Q453"/>
    </row>
    <row r="454" spans="14:17">
      <c r="N454"/>
      <c r="O454"/>
      <c r="P454"/>
      <c r="Q454"/>
    </row>
    <row r="455" spans="14:17">
      <c r="N455"/>
      <c r="O455"/>
      <c r="P455"/>
      <c r="Q455"/>
    </row>
    <row r="456" spans="14:17">
      <c r="N456"/>
      <c r="O456"/>
      <c r="P456"/>
      <c r="Q456"/>
    </row>
    <row r="457" spans="14:17">
      <c r="N457"/>
      <c r="O457"/>
      <c r="P457"/>
      <c r="Q457"/>
    </row>
    <row r="458" spans="14:17">
      <c r="N458"/>
      <c r="O458"/>
      <c r="P458"/>
      <c r="Q458"/>
    </row>
    <row r="459" spans="14:17">
      <c r="N459"/>
      <c r="O459"/>
      <c r="P459"/>
      <c r="Q459"/>
    </row>
    <row r="460" spans="14:17">
      <c r="N460"/>
      <c r="O460"/>
      <c r="P460"/>
      <c r="Q460"/>
    </row>
    <row r="461" spans="14:17">
      <c r="N461"/>
      <c r="O461"/>
      <c r="P461"/>
      <c r="Q461"/>
    </row>
    <row r="462" spans="14:17">
      <c r="N462"/>
      <c r="O462"/>
      <c r="P462"/>
      <c r="Q462"/>
    </row>
    <row r="463" spans="14:17">
      <c r="N463"/>
      <c r="O463"/>
      <c r="P463"/>
      <c r="Q463"/>
    </row>
    <row r="464" spans="14:17">
      <c r="N464"/>
      <c r="O464"/>
      <c r="P464"/>
      <c r="Q464"/>
    </row>
    <row r="465" spans="14:17">
      <c r="N465"/>
      <c r="O465"/>
      <c r="P465"/>
      <c r="Q465"/>
    </row>
    <row r="466" spans="14:17">
      <c r="N466"/>
      <c r="O466"/>
      <c r="P466"/>
      <c r="Q466"/>
    </row>
    <row r="467" spans="14:17">
      <c r="N467"/>
      <c r="O467"/>
      <c r="P467"/>
      <c r="Q467"/>
    </row>
    <row r="468" spans="14:17">
      <c r="N468"/>
      <c r="O468"/>
      <c r="P468"/>
      <c r="Q468"/>
    </row>
    <row r="469" spans="14:17">
      <c r="N469"/>
      <c r="O469"/>
      <c r="P469"/>
      <c r="Q469"/>
    </row>
    <row r="470" spans="14:17">
      <c r="N470"/>
      <c r="O470"/>
      <c r="P470"/>
      <c r="Q470"/>
    </row>
    <row r="471" spans="14:17">
      <c r="N471"/>
      <c r="O471"/>
      <c r="P471"/>
      <c r="Q471"/>
    </row>
    <row r="472" spans="14:17">
      <c r="N472"/>
      <c r="O472"/>
      <c r="P472"/>
      <c r="Q472"/>
    </row>
    <row r="473" spans="14:17">
      <c r="N473"/>
      <c r="O473"/>
      <c r="P473"/>
      <c r="Q473"/>
    </row>
    <row r="474" spans="14:17">
      <c r="N474"/>
      <c r="O474"/>
      <c r="P474"/>
      <c r="Q474"/>
    </row>
    <row r="475" spans="14:17">
      <c r="N475"/>
      <c r="O475"/>
      <c r="P475"/>
      <c r="Q475"/>
    </row>
    <row r="476" spans="14:17">
      <c r="N476"/>
      <c r="O476"/>
      <c r="P476"/>
      <c r="Q476"/>
    </row>
    <row r="477" spans="14:17">
      <c r="N477"/>
      <c r="O477"/>
      <c r="P477"/>
      <c r="Q477"/>
    </row>
    <row r="478" spans="14:17">
      <c r="N478"/>
      <c r="O478"/>
      <c r="P478"/>
      <c r="Q478"/>
    </row>
    <row r="479" spans="14:17">
      <c r="N479"/>
      <c r="O479"/>
      <c r="P479"/>
      <c r="Q479"/>
    </row>
    <row r="480" spans="14:17">
      <c r="N480"/>
      <c r="O480"/>
      <c r="P480"/>
      <c r="Q480"/>
    </row>
    <row r="481" spans="14:17">
      <c r="N481"/>
      <c r="O481"/>
      <c r="P481"/>
      <c r="Q481"/>
    </row>
    <row r="482" spans="14:17">
      <c r="N482"/>
      <c r="O482"/>
      <c r="P482"/>
      <c r="Q482"/>
    </row>
    <row r="483" spans="14:17">
      <c r="N483"/>
      <c r="O483"/>
      <c r="P483"/>
      <c r="Q483"/>
    </row>
    <row r="484" spans="14:17">
      <c r="N484"/>
      <c r="O484"/>
      <c r="P484"/>
      <c r="Q484"/>
    </row>
    <row r="485" spans="14:17">
      <c r="N485"/>
      <c r="O485"/>
      <c r="P485"/>
      <c r="Q485"/>
    </row>
    <row r="486" spans="14:17">
      <c r="N486"/>
      <c r="O486"/>
      <c r="P486"/>
      <c r="Q486"/>
    </row>
    <row r="487" spans="14:17">
      <c r="N487"/>
      <c r="O487"/>
      <c r="P487"/>
      <c r="Q487"/>
    </row>
    <row r="488" spans="14:17">
      <c r="N488"/>
      <c r="O488"/>
      <c r="P488"/>
      <c r="Q488"/>
    </row>
    <row r="489" spans="14:17">
      <c r="N489"/>
      <c r="O489"/>
      <c r="P489"/>
      <c r="Q489"/>
    </row>
    <row r="490" spans="14:17">
      <c r="N490"/>
      <c r="O490"/>
      <c r="P490"/>
      <c r="Q490"/>
    </row>
    <row r="491" spans="14:17">
      <c r="N491"/>
      <c r="O491"/>
      <c r="P491"/>
      <c r="Q491"/>
    </row>
    <row r="492" spans="14:17">
      <c r="N492"/>
      <c r="O492"/>
      <c r="P492"/>
      <c r="Q492"/>
    </row>
    <row r="493" spans="14:17">
      <c r="N493"/>
      <c r="O493"/>
      <c r="P493"/>
      <c r="Q493"/>
    </row>
    <row r="494" spans="14:17">
      <c r="N494"/>
      <c r="O494"/>
      <c r="P494"/>
      <c r="Q494"/>
    </row>
    <row r="495" spans="14:17">
      <c r="N495"/>
      <c r="O495"/>
      <c r="P495"/>
      <c r="Q495"/>
    </row>
    <row r="496" spans="14:17">
      <c r="N496"/>
      <c r="O496"/>
      <c r="P496"/>
      <c r="Q496"/>
    </row>
    <row r="497" spans="14:17">
      <c r="N497"/>
      <c r="O497"/>
      <c r="P497"/>
      <c r="Q497"/>
    </row>
    <row r="498" spans="14:17">
      <c r="N498"/>
      <c r="O498"/>
      <c r="P498"/>
      <c r="Q498"/>
    </row>
    <row r="499" spans="14:17">
      <c r="N499"/>
      <c r="O499"/>
      <c r="P499"/>
      <c r="Q499"/>
    </row>
    <row r="500" spans="14:17">
      <c r="N500"/>
      <c r="O500"/>
      <c r="P500"/>
      <c r="Q500"/>
    </row>
    <row r="501" spans="14:17">
      <c r="N501"/>
      <c r="O501"/>
      <c r="P501"/>
      <c r="Q501"/>
    </row>
    <row r="502" spans="14:17">
      <c r="N502"/>
      <c r="O502"/>
      <c r="P502"/>
      <c r="Q502"/>
    </row>
    <row r="503" spans="14:17">
      <c r="N503"/>
      <c r="O503"/>
      <c r="P503"/>
      <c r="Q503"/>
    </row>
    <row r="504" spans="14:17">
      <c r="N504"/>
      <c r="O504"/>
      <c r="P504"/>
      <c r="Q504"/>
    </row>
    <row r="505" spans="14:17">
      <c r="N505"/>
      <c r="O505"/>
      <c r="P505"/>
      <c r="Q505"/>
    </row>
    <row r="506" spans="14:17">
      <c r="N506"/>
      <c r="O506"/>
      <c r="P506"/>
      <c r="Q506"/>
    </row>
    <row r="507" spans="14:17">
      <c r="N507"/>
      <c r="O507"/>
      <c r="P507"/>
      <c r="Q507"/>
    </row>
    <row r="508" spans="14:17">
      <c r="N508"/>
      <c r="O508"/>
      <c r="P508"/>
      <c r="Q508"/>
    </row>
    <row r="509" spans="14:17">
      <c r="N509"/>
      <c r="O509"/>
      <c r="P509"/>
      <c r="Q509"/>
    </row>
    <row r="510" spans="14:17">
      <c r="N510"/>
      <c r="O510"/>
      <c r="P510"/>
      <c r="Q510"/>
    </row>
    <row r="511" spans="14:17">
      <c r="N511"/>
      <c r="O511"/>
      <c r="P511"/>
      <c r="Q511"/>
    </row>
    <row r="512" spans="14:17">
      <c r="N512"/>
      <c r="O512"/>
      <c r="P512"/>
      <c r="Q512"/>
    </row>
    <row r="513" spans="14:17">
      <c r="N513"/>
      <c r="O513"/>
      <c r="P513"/>
      <c r="Q513"/>
    </row>
    <row r="514" spans="14:17">
      <c r="N514"/>
      <c r="O514"/>
      <c r="P514"/>
      <c r="Q514"/>
    </row>
    <row r="515" spans="14:17">
      <c r="N515"/>
      <c r="O515"/>
      <c r="P515"/>
      <c r="Q515"/>
    </row>
    <row r="516" spans="14:17">
      <c r="N516"/>
      <c r="O516"/>
      <c r="P516"/>
      <c r="Q516"/>
    </row>
    <row r="517" spans="14:17">
      <c r="N517"/>
      <c r="O517"/>
      <c r="P517"/>
      <c r="Q517"/>
    </row>
    <row r="518" spans="14:17">
      <c r="N518"/>
      <c r="O518"/>
      <c r="P518"/>
      <c r="Q518"/>
    </row>
    <row r="519" spans="14:17">
      <c r="N519"/>
      <c r="O519"/>
      <c r="P519"/>
      <c r="Q519"/>
    </row>
    <row r="520" spans="14:17">
      <c r="N520"/>
      <c r="O520"/>
      <c r="P520"/>
      <c r="Q520"/>
    </row>
    <row r="521" spans="14:17">
      <c r="N521"/>
      <c r="O521"/>
      <c r="P521"/>
      <c r="Q521"/>
    </row>
    <row r="522" spans="14:17">
      <c r="N522"/>
      <c r="O522"/>
      <c r="P522"/>
      <c r="Q522"/>
    </row>
    <row r="523" spans="14:17">
      <c r="N523"/>
      <c r="O523"/>
      <c r="P523"/>
      <c r="Q523"/>
    </row>
    <row r="524" spans="14:17">
      <c r="N524"/>
      <c r="O524"/>
      <c r="P524"/>
      <c r="Q524"/>
    </row>
    <row r="525" spans="14:17">
      <c r="N525"/>
      <c r="O525"/>
      <c r="P525"/>
      <c r="Q525"/>
    </row>
    <row r="526" spans="14:17">
      <c r="N526"/>
      <c r="O526"/>
      <c r="P526"/>
      <c r="Q526"/>
    </row>
    <row r="527" spans="14:17">
      <c r="N527"/>
      <c r="O527"/>
      <c r="P527"/>
      <c r="Q527"/>
    </row>
    <row r="528" spans="14:17">
      <c r="N528"/>
      <c r="O528"/>
      <c r="P528"/>
      <c r="Q528"/>
    </row>
    <row r="529" spans="14:17">
      <c r="N529"/>
      <c r="O529"/>
      <c r="P529"/>
      <c r="Q529"/>
    </row>
    <row r="530" spans="14:17">
      <c r="N530"/>
      <c r="O530"/>
      <c r="P530"/>
      <c r="Q530"/>
    </row>
    <row r="531" spans="14:17">
      <c r="N531"/>
      <c r="O531"/>
      <c r="P531"/>
      <c r="Q531"/>
    </row>
    <row r="532" spans="14:17">
      <c r="N532"/>
      <c r="O532"/>
      <c r="P532"/>
      <c r="Q532"/>
    </row>
    <row r="533" spans="14:17">
      <c r="N533"/>
      <c r="O533"/>
      <c r="P533"/>
      <c r="Q533"/>
    </row>
    <row r="534" spans="14:17">
      <c r="N534"/>
      <c r="O534"/>
      <c r="P534"/>
      <c r="Q534"/>
    </row>
    <row r="535" spans="14:17">
      <c r="N535"/>
      <c r="O535"/>
      <c r="P535"/>
      <c r="Q535"/>
    </row>
    <row r="536" spans="14:17">
      <c r="N536"/>
      <c r="O536"/>
      <c r="P536"/>
      <c r="Q536"/>
    </row>
    <row r="537" spans="14:17">
      <c r="N537"/>
      <c r="O537"/>
      <c r="P537"/>
      <c r="Q537"/>
    </row>
    <row r="538" spans="14:17">
      <c r="N538"/>
      <c r="O538"/>
      <c r="P538"/>
      <c r="Q538"/>
    </row>
    <row r="539" spans="14:17">
      <c r="N539"/>
      <c r="O539"/>
      <c r="P539"/>
      <c r="Q539"/>
    </row>
    <row r="540" spans="14:17">
      <c r="N540"/>
      <c r="O540"/>
      <c r="P540"/>
      <c r="Q540"/>
    </row>
    <row r="541" spans="14:17">
      <c r="N541"/>
      <c r="O541"/>
      <c r="P541"/>
      <c r="Q541"/>
    </row>
    <row r="542" spans="14:17">
      <c r="N542"/>
      <c r="O542"/>
      <c r="P542"/>
      <c r="Q542"/>
    </row>
    <row r="543" spans="14:17">
      <c r="N543"/>
      <c r="O543"/>
      <c r="P543"/>
      <c r="Q543"/>
    </row>
    <row r="544" spans="14:17">
      <c r="N544"/>
      <c r="O544"/>
      <c r="P544"/>
      <c r="Q544"/>
    </row>
    <row r="545" spans="14:17">
      <c r="N545"/>
      <c r="O545"/>
      <c r="P545"/>
      <c r="Q545"/>
    </row>
    <row r="546" spans="14:17">
      <c r="N546"/>
      <c r="O546"/>
      <c r="P546"/>
      <c r="Q546"/>
    </row>
    <row r="547" spans="14:17">
      <c r="N547"/>
      <c r="O547"/>
      <c r="P547"/>
      <c r="Q547"/>
    </row>
    <row r="548" spans="14:17">
      <c r="N548"/>
      <c r="O548"/>
      <c r="P548"/>
      <c r="Q548"/>
    </row>
    <row r="549" spans="14:17">
      <c r="N549"/>
      <c r="O549"/>
      <c r="P549"/>
      <c r="Q549"/>
    </row>
    <row r="550" spans="14:17">
      <c r="N550"/>
      <c r="O550"/>
      <c r="P550"/>
      <c r="Q550"/>
    </row>
    <row r="551" spans="14:17">
      <c r="N551"/>
      <c r="O551"/>
      <c r="P551"/>
      <c r="Q551"/>
    </row>
    <row r="552" spans="14:17">
      <c r="N552"/>
      <c r="O552"/>
      <c r="P552"/>
      <c r="Q552"/>
    </row>
    <row r="553" spans="14:17">
      <c r="N553"/>
      <c r="O553"/>
      <c r="P553"/>
      <c r="Q553"/>
    </row>
    <row r="554" spans="14:17">
      <c r="N554"/>
      <c r="O554"/>
      <c r="P554"/>
      <c r="Q554"/>
    </row>
    <row r="555" spans="14:17">
      <c r="N555"/>
      <c r="O555"/>
      <c r="P555"/>
      <c r="Q555"/>
    </row>
    <row r="556" spans="14:17">
      <c r="N556"/>
      <c r="O556"/>
      <c r="P556"/>
      <c r="Q556"/>
    </row>
    <row r="557" spans="14:17">
      <c r="N557"/>
      <c r="O557"/>
      <c r="P557"/>
      <c r="Q557"/>
    </row>
    <row r="558" spans="14:17">
      <c r="N558"/>
      <c r="O558"/>
      <c r="P558"/>
      <c r="Q558"/>
    </row>
    <row r="559" spans="14:17">
      <c r="N559"/>
      <c r="O559"/>
      <c r="P559"/>
      <c r="Q559"/>
    </row>
    <row r="560" spans="14:17">
      <c r="N560"/>
      <c r="O560"/>
      <c r="P560"/>
      <c r="Q560"/>
    </row>
    <row r="561" spans="14:17">
      <c r="N561"/>
      <c r="O561"/>
      <c r="P561"/>
      <c r="Q561"/>
    </row>
    <row r="562" spans="14:17">
      <c r="N562"/>
      <c r="O562"/>
      <c r="P562"/>
      <c r="Q562"/>
    </row>
    <row r="563" spans="14:17">
      <c r="N563"/>
      <c r="O563"/>
      <c r="P563"/>
      <c r="Q563"/>
    </row>
    <row r="564" spans="14:17">
      <c r="N564"/>
      <c r="O564"/>
      <c r="P564"/>
      <c r="Q564"/>
    </row>
    <row r="565" spans="14:17">
      <c r="N565"/>
      <c r="O565"/>
      <c r="P565"/>
      <c r="Q565"/>
    </row>
    <row r="566" spans="14:17">
      <c r="N566"/>
      <c r="O566"/>
      <c r="P566"/>
      <c r="Q566"/>
    </row>
    <row r="567" spans="14:17">
      <c r="N567"/>
      <c r="O567"/>
      <c r="P567"/>
      <c r="Q567"/>
    </row>
    <row r="568" spans="14:17">
      <c r="N568"/>
      <c r="O568"/>
      <c r="P568"/>
      <c r="Q568"/>
    </row>
    <row r="569" spans="14:17">
      <c r="N569"/>
      <c r="O569"/>
      <c r="P569"/>
      <c r="Q569"/>
    </row>
    <row r="570" spans="14:17">
      <c r="N570"/>
      <c r="O570"/>
      <c r="P570"/>
      <c r="Q570"/>
    </row>
    <row r="571" spans="14:17">
      <c r="N571"/>
      <c r="O571"/>
      <c r="P571"/>
      <c r="Q571"/>
    </row>
    <row r="572" spans="14:17">
      <c r="N572"/>
      <c r="O572"/>
      <c r="P572"/>
      <c r="Q572"/>
    </row>
    <row r="573" spans="14:17">
      <c r="N573"/>
      <c r="O573"/>
      <c r="P573"/>
      <c r="Q573"/>
    </row>
    <row r="574" spans="14:17">
      <c r="N574"/>
      <c r="O574"/>
      <c r="P574"/>
      <c r="Q574"/>
    </row>
    <row r="575" spans="14:17">
      <c r="N575"/>
      <c r="O575"/>
      <c r="P575"/>
      <c r="Q575"/>
    </row>
    <row r="576" spans="14:17">
      <c r="N576"/>
      <c r="O576"/>
      <c r="P576"/>
      <c r="Q576"/>
    </row>
    <row r="577" spans="14:17">
      <c r="N577"/>
      <c r="O577"/>
      <c r="P577"/>
      <c r="Q577"/>
    </row>
    <row r="578" spans="14:17">
      <c r="N578"/>
      <c r="O578"/>
      <c r="P578"/>
      <c r="Q578"/>
    </row>
    <row r="579" spans="14:17">
      <c r="N579"/>
      <c r="O579"/>
      <c r="P579"/>
      <c r="Q579"/>
    </row>
    <row r="580" spans="14:17">
      <c r="N580"/>
      <c r="O580"/>
      <c r="P580"/>
      <c r="Q580"/>
    </row>
    <row r="581" spans="14:17">
      <c r="N581"/>
      <c r="O581"/>
      <c r="P581"/>
      <c r="Q581"/>
    </row>
    <row r="582" spans="14:17">
      <c r="N582"/>
      <c r="O582"/>
      <c r="P582"/>
      <c r="Q582"/>
    </row>
    <row r="583" spans="14:17">
      <c r="N583"/>
      <c r="O583"/>
      <c r="P583"/>
      <c r="Q583"/>
    </row>
    <row r="584" spans="14:17">
      <c r="N584"/>
      <c r="O584"/>
      <c r="P584"/>
      <c r="Q584"/>
    </row>
    <row r="585" spans="14:17">
      <c r="N585"/>
      <c r="O585"/>
      <c r="P585"/>
      <c r="Q585"/>
    </row>
    <row r="586" spans="14:17">
      <c r="N586"/>
      <c r="O586"/>
      <c r="P586"/>
      <c r="Q586"/>
    </row>
    <row r="587" spans="14:17">
      <c r="N587"/>
      <c r="O587"/>
      <c r="P587"/>
      <c r="Q587"/>
    </row>
    <row r="588" spans="14:17">
      <c r="N588"/>
      <c r="O588"/>
      <c r="P588"/>
      <c r="Q588"/>
    </row>
    <row r="589" spans="14:17">
      <c r="N589"/>
      <c r="O589"/>
      <c r="P589"/>
      <c r="Q589"/>
    </row>
    <row r="590" spans="14:17">
      <c r="N590"/>
      <c r="O590"/>
      <c r="P590"/>
      <c r="Q590"/>
    </row>
    <row r="591" spans="14:17">
      <c r="N591"/>
      <c r="O591"/>
      <c r="P591"/>
      <c r="Q591"/>
    </row>
    <row r="592" spans="14:17">
      <c r="N592"/>
      <c r="O592"/>
      <c r="P592"/>
      <c r="Q592"/>
    </row>
    <row r="593" spans="14:17">
      <c r="N593"/>
      <c r="O593"/>
      <c r="P593"/>
      <c r="Q593"/>
    </row>
    <row r="594" spans="14:17">
      <c r="N594"/>
      <c r="O594"/>
      <c r="P594"/>
      <c r="Q594"/>
    </row>
    <row r="595" spans="14:17">
      <c r="N595"/>
      <c r="O595"/>
      <c r="P595"/>
      <c r="Q595"/>
    </row>
    <row r="596" spans="14:17">
      <c r="N596"/>
      <c r="O596"/>
      <c r="P596"/>
      <c r="Q596"/>
    </row>
    <row r="597" spans="14:17">
      <c r="N597"/>
      <c r="O597"/>
      <c r="P597"/>
      <c r="Q597"/>
    </row>
    <row r="598" spans="14:17">
      <c r="N598"/>
      <c r="O598"/>
      <c r="P598"/>
      <c r="Q598"/>
    </row>
    <row r="599" spans="14:17">
      <c r="N599"/>
      <c r="O599"/>
      <c r="P599"/>
      <c r="Q599"/>
    </row>
    <row r="600" spans="14:17">
      <c r="N600"/>
      <c r="O600"/>
      <c r="P600"/>
      <c r="Q600"/>
    </row>
    <row r="601" spans="14:17">
      <c r="N601"/>
      <c r="O601"/>
      <c r="P601"/>
      <c r="Q601"/>
    </row>
    <row r="602" spans="14:17">
      <c r="N602"/>
      <c r="O602"/>
      <c r="P602"/>
      <c r="Q602"/>
    </row>
    <row r="603" spans="14:17">
      <c r="N603"/>
      <c r="O603"/>
      <c r="P603"/>
      <c r="Q603"/>
    </row>
    <row r="604" spans="14:17">
      <c r="N604"/>
      <c r="O604"/>
      <c r="P604"/>
      <c r="Q604"/>
    </row>
    <row r="605" spans="14:17">
      <c r="N605"/>
      <c r="O605"/>
      <c r="P605"/>
      <c r="Q605"/>
    </row>
    <row r="606" spans="14:17">
      <c r="N606"/>
      <c r="O606"/>
      <c r="P606"/>
      <c r="Q606"/>
    </row>
    <row r="607" spans="14:17">
      <c r="N607"/>
      <c r="O607"/>
      <c r="P607"/>
      <c r="Q607"/>
    </row>
    <row r="608" spans="14:17">
      <c r="N608"/>
      <c r="O608"/>
      <c r="P608"/>
      <c r="Q608"/>
    </row>
    <row r="609" spans="14:17">
      <c r="N609"/>
      <c r="O609"/>
      <c r="P609"/>
      <c r="Q609"/>
    </row>
    <row r="610" spans="14:17">
      <c r="N610"/>
      <c r="O610"/>
      <c r="P610"/>
      <c r="Q610"/>
    </row>
    <row r="611" spans="14:17">
      <c r="N611"/>
      <c r="O611"/>
      <c r="P611"/>
      <c r="Q611"/>
    </row>
    <row r="612" spans="14:17">
      <c r="N612"/>
      <c r="O612"/>
      <c r="P612"/>
      <c r="Q612"/>
    </row>
    <row r="613" spans="14:17">
      <c r="N613"/>
      <c r="O613"/>
      <c r="P613"/>
      <c r="Q613"/>
    </row>
    <row r="614" spans="14:17">
      <c r="N614"/>
      <c r="O614"/>
      <c r="P614"/>
      <c r="Q614"/>
    </row>
    <row r="615" spans="14:17">
      <c r="N615"/>
      <c r="O615"/>
      <c r="P615"/>
      <c r="Q615"/>
    </row>
    <row r="616" spans="14:17">
      <c r="N616"/>
      <c r="O616"/>
      <c r="P616"/>
      <c r="Q616"/>
    </row>
    <row r="617" spans="14:17">
      <c r="N617"/>
      <c r="O617"/>
      <c r="P617"/>
      <c r="Q617"/>
    </row>
    <row r="618" spans="14:17">
      <c r="N618"/>
      <c r="O618"/>
      <c r="P618"/>
      <c r="Q618"/>
    </row>
    <row r="619" spans="14:17">
      <c r="N619"/>
      <c r="O619"/>
      <c r="P619"/>
      <c r="Q619"/>
    </row>
    <row r="620" spans="14:17">
      <c r="N620"/>
      <c r="O620"/>
      <c r="P620"/>
      <c r="Q620"/>
    </row>
    <row r="621" spans="14:17">
      <c r="N621"/>
      <c r="O621"/>
      <c r="P621"/>
      <c r="Q621"/>
    </row>
    <row r="622" spans="14:17">
      <c r="N622"/>
      <c r="O622"/>
      <c r="P622"/>
      <c r="Q622"/>
    </row>
    <row r="623" spans="14:17">
      <c r="N623"/>
      <c r="O623"/>
      <c r="P623"/>
      <c r="Q623"/>
    </row>
    <row r="624" spans="14:17">
      <c r="N624"/>
      <c r="O624"/>
      <c r="P624"/>
      <c r="Q624"/>
    </row>
    <row r="625" spans="14:17">
      <c r="N625"/>
      <c r="O625"/>
      <c r="P625"/>
      <c r="Q625"/>
    </row>
    <row r="626" spans="14:17">
      <c r="N626"/>
      <c r="O626"/>
      <c r="P626"/>
      <c r="Q626"/>
    </row>
    <row r="627" spans="14:17">
      <c r="N627"/>
      <c r="O627"/>
      <c r="P627"/>
      <c r="Q627"/>
    </row>
    <row r="628" spans="14:17">
      <c r="N628"/>
      <c r="O628"/>
      <c r="P628"/>
      <c r="Q628"/>
    </row>
    <row r="629" spans="14:17">
      <c r="N629"/>
      <c r="O629"/>
      <c r="P629"/>
      <c r="Q629"/>
    </row>
    <row r="630" spans="14:17">
      <c r="N630"/>
      <c r="O630"/>
      <c r="P630"/>
      <c r="Q630"/>
    </row>
    <row r="631" spans="14:17">
      <c r="N631"/>
      <c r="O631"/>
      <c r="P631"/>
      <c r="Q631"/>
    </row>
    <row r="632" spans="14:17">
      <c r="N632"/>
      <c r="O632"/>
      <c r="P632"/>
      <c r="Q632"/>
    </row>
    <row r="633" spans="14:17">
      <c r="N633"/>
      <c r="O633"/>
      <c r="P633"/>
      <c r="Q633"/>
    </row>
    <row r="634" spans="14:17">
      <c r="N634"/>
      <c r="O634"/>
      <c r="P634"/>
      <c r="Q634"/>
    </row>
    <row r="635" spans="14:17">
      <c r="N635"/>
      <c r="O635"/>
      <c r="P635"/>
      <c r="Q635"/>
    </row>
    <row r="636" spans="14:17">
      <c r="N636"/>
      <c r="O636"/>
      <c r="P636"/>
      <c r="Q636"/>
    </row>
    <row r="637" spans="14:17">
      <c r="N637"/>
      <c r="O637"/>
      <c r="P637"/>
      <c r="Q637"/>
    </row>
    <row r="638" spans="14:17">
      <c r="N638"/>
      <c r="O638"/>
      <c r="P638"/>
      <c r="Q638"/>
    </row>
    <row r="639" spans="14:17">
      <c r="N639"/>
      <c r="O639"/>
      <c r="P639"/>
      <c r="Q639"/>
    </row>
    <row r="640" spans="14:17">
      <c r="N640"/>
      <c r="O640"/>
      <c r="P640"/>
      <c r="Q640"/>
    </row>
    <row r="641" spans="14:17">
      <c r="N641"/>
      <c r="O641"/>
      <c r="P641"/>
      <c r="Q641"/>
    </row>
    <row r="642" spans="14:17">
      <c r="N642"/>
      <c r="O642"/>
      <c r="P642"/>
      <c r="Q642"/>
    </row>
    <row r="643" spans="14:17">
      <c r="N643"/>
      <c r="O643"/>
      <c r="P643"/>
      <c r="Q643"/>
    </row>
    <row r="644" spans="14:17">
      <c r="N644"/>
      <c r="O644"/>
      <c r="P644"/>
      <c r="Q644"/>
    </row>
    <row r="645" spans="14:17">
      <c r="N645"/>
      <c r="O645"/>
      <c r="P645"/>
      <c r="Q645"/>
    </row>
    <row r="646" spans="14:17">
      <c r="N646"/>
      <c r="O646"/>
      <c r="P646"/>
      <c r="Q646"/>
    </row>
    <row r="647" spans="14:17">
      <c r="N647"/>
      <c r="O647"/>
      <c r="P647"/>
      <c r="Q647"/>
    </row>
    <row r="648" spans="14:17">
      <c r="N648"/>
      <c r="O648"/>
      <c r="P648"/>
      <c r="Q648"/>
    </row>
    <row r="649" spans="14:17">
      <c r="N649"/>
      <c r="O649"/>
      <c r="P649"/>
      <c r="Q649"/>
    </row>
    <row r="650" spans="14:17">
      <c r="N650"/>
      <c r="O650"/>
      <c r="P650"/>
      <c r="Q650"/>
    </row>
    <row r="651" spans="14:17">
      <c r="N651"/>
      <c r="O651"/>
      <c r="P651"/>
      <c r="Q651"/>
    </row>
    <row r="652" spans="14:17">
      <c r="N652"/>
      <c r="O652"/>
      <c r="P652"/>
      <c r="Q652"/>
    </row>
    <row r="653" spans="14:17">
      <c r="N653"/>
      <c r="O653"/>
      <c r="P653"/>
      <c r="Q653"/>
    </row>
    <row r="654" spans="14:17">
      <c r="N654"/>
      <c r="O654"/>
      <c r="P654"/>
      <c r="Q654"/>
    </row>
    <row r="655" spans="14:17">
      <c r="N655"/>
      <c r="O655"/>
      <c r="P655"/>
      <c r="Q655"/>
    </row>
    <row r="656" spans="14:17">
      <c r="N656"/>
      <c r="O656"/>
      <c r="P656"/>
      <c r="Q656"/>
    </row>
    <row r="657" spans="14:17">
      <c r="N657"/>
      <c r="O657"/>
      <c r="P657"/>
      <c r="Q657"/>
    </row>
    <row r="658" spans="14:17">
      <c r="N658"/>
      <c r="O658"/>
      <c r="P658"/>
      <c r="Q658"/>
    </row>
    <row r="659" spans="14:17">
      <c r="N659"/>
      <c r="O659"/>
      <c r="P659"/>
      <c r="Q659"/>
    </row>
    <row r="660" spans="14:17">
      <c r="N660"/>
      <c r="O660"/>
      <c r="P660"/>
      <c r="Q660"/>
    </row>
    <row r="661" spans="14:17">
      <c r="N661"/>
      <c r="O661"/>
      <c r="P661"/>
      <c r="Q661"/>
    </row>
    <row r="662" spans="14:17">
      <c r="N662"/>
      <c r="O662"/>
      <c r="P662"/>
      <c r="Q662"/>
    </row>
    <row r="663" spans="14:17">
      <c r="N663"/>
      <c r="O663"/>
      <c r="P663"/>
      <c r="Q663"/>
    </row>
    <row r="664" spans="14:17">
      <c r="N664"/>
      <c r="O664"/>
      <c r="P664"/>
      <c r="Q664"/>
    </row>
    <row r="665" spans="14:17">
      <c r="N665"/>
      <c r="O665"/>
      <c r="P665"/>
      <c r="Q665"/>
    </row>
    <row r="666" spans="14:17">
      <c r="N666"/>
      <c r="O666"/>
      <c r="P666"/>
      <c r="Q666"/>
    </row>
    <row r="667" spans="14:17">
      <c r="N667"/>
      <c r="O667"/>
      <c r="P667"/>
      <c r="Q667"/>
    </row>
    <row r="668" spans="14:17">
      <c r="N668"/>
      <c r="O668"/>
      <c r="P668"/>
      <c r="Q668"/>
    </row>
    <row r="669" spans="14:17">
      <c r="N669"/>
      <c r="O669"/>
      <c r="P669"/>
      <c r="Q669"/>
    </row>
    <row r="670" spans="14:17">
      <c r="N670"/>
      <c r="O670"/>
      <c r="P670"/>
      <c r="Q670"/>
    </row>
    <row r="671" spans="14:17">
      <c r="N671"/>
      <c r="O671"/>
      <c r="P671"/>
      <c r="Q671"/>
    </row>
    <row r="672" spans="14:17">
      <c r="N672"/>
      <c r="O672"/>
      <c r="P672"/>
      <c r="Q672"/>
    </row>
    <row r="673" spans="14:17">
      <c r="N673"/>
      <c r="O673"/>
      <c r="P673"/>
      <c r="Q673"/>
    </row>
    <row r="674" spans="14:17">
      <c r="N674"/>
      <c r="O674"/>
      <c r="P674"/>
      <c r="Q674"/>
    </row>
    <row r="675" spans="14:17">
      <c r="N675"/>
      <c r="O675"/>
      <c r="P675"/>
      <c r="Q675"/>
    </row>
    <row r="676" spans="14:17">
      <c r="N676"/>
      <c r="O676"/>
      <c r="P676"/>
      <c r="Q676"/>
    </row>
    <row r="677" spans="14:17">
      <c r="N677"/>
      <c r="O677"/>
      <c r="P677"/>
      <c r="Q677"/>
    </row>
    <row r="678" spans="14:17">
      <c r="N678"/>
      <c r="O678"/>
      <c r="P678"/>
      <c r="Q678"/>
    </row>
    <row r="679" spans="14:17">
      <c r="N679"/>
      <c r="O679"/>
      <c r="P679"/>
      <c r="Q679"/>
    </row>
    <row r="680" spans="14:17">
      <c r="N680"/>
      <c r="O680"/>
      <c r="P680"/>
      <c r="Q680"/>
    </row>
    <row r="681" spans="14:17">
      <c r="N681"/>
      <c r="O681"/>
      <c r="P681"/>
      <c r="Q681"/>
    </row>
    <row r="682" spans="14:17">
      <c r="N682"/>
      <c r="O682"/>
      <c r="P682"/>
      <c r="Q682"/>
    </row>
    <row r="683" spans="14:17">
      <c r="N683"/>
      <c r="O683"/>
      <c r="P683"/>
      <c r="Q683"/>
    </row>
    <row r="684" spans="14:17">
      <c r="N684"/>
      <c r="O684"/>
      <c r="P684"/>
      <c r="Q684"/>
    </row>
    <row r="685" spans="14:17">
      <c r="N685"/>
      <c r="O685"/>
      <c r="P685"/>
      <c r="Q685"/>
    </row>
    <row r="686" spans="14:17">
      <c r="N686"/>
      <c r="O686"/>
      <c r="P686"/>
      <c r="Q686"/>
    </row>
    <row r="687" spans="14:17">
      <c r="N687"/>
      <c r="O687"/>
      <c r="P687"/>
      <c r="Q687"/>
    </row>
    <row r="688" spans="14:17">
      <c r="N688"/>
      <c r="O688"/>
      <c r="P688"/>
      <c r="Q688"/>
    </row>
    <row r="689" spans="14:17">
      <c r="N689"/>
      <c r="O689"/>
      <c r="P689"/>
      <c r="Q689"/>
    </row>
    <row r="690" spans="14:17">
      <c r="N690"/>
      <c r="O690"/>
      <c r="P690"/>
      <c r="Q690"/>
    </row>
    <row r="691" spans="14:17">
      <c r="N691"/>
      <c r="O691"/>
      <c r="P691"/>
      <c r="Q691"/>
    </row>
    <row r="692" spans="14:17">
      <c r="N692"/>
      <c r="O692"/>
      <c r="P692"/>
      <c r="Q692"/>
    </row>
    <row r="693" spans="14:17">
      <c r="N693"/>
      <c r="O693"/>
      <c r="P693"/>
      <c r="Q693"/>
    </row>
    <row r="694" spans="14:17">
      <c r="N694"/>
      <c r="O694"/>
      <c r="P694"/>
      <c r="Q694"/>
    </row>
    <row r="695" spans="14:17">
      <c r="N695"/>
      <c r="O695"/>
      <c r="P695"/>
      <c r="Q695"/>
    </row>
    <row r="696" spans="14:17">
      <c r="N696"/>
      <c r="O696"/>
      <c r="P696"/>
      <c r="Q696"/>
    </row>
    <row r="697" spans="14:17">
      <c r="N697"/>
      <c r="O697"/>
      <c r="P697"/>
      <c r="Q697"/>
    </row>
    <row r="698" spans="14:17">
      <c r="N698"/>
      <c r="O698"/>
      <c r="P698"/>
      <c r="Q698"/>
    </row>
    <row r="699" spans="14:17">
      <c r="N699"/>
      <c r="O699"/>
      <c r="P699"/>
      <c r="Q699"/>
    </row>
    <row r="700" spans="14:17">
      <c r="N700"/>
      <c r="O700"/>
      <c r="P700"/>
      <c r="Q700"/>
    </row>
    <row r="701" spans="14:17">
      <c r="N701"/>
      <c r="O701"/>
      <c r="P701"/>
      <c r="Q701"/>
    </row>
    <row r="702" spans="14:17">
      <c r="N702"/>
      <c r="O702"/>
      <c r="P702"/>
      <c r="Q702"/>
    </row>
    <row r="703" spans="14:17">
      <c r="N703"/>
      <c r="O703"/>
      <c r="P703"/>
      <c r="Q703"/>
    </row>
    <row r="704" spans="14:17">
      <c r="N704"/>
      <c r="O704"/>
      <c r="P704"/>
      <c r="Q704"/>
    </row>
    <row r="705" spans="14:17">
      <c r="N705"/>
      <c r="O705"/>
      <c r="P705"/>
      <c r="Q705"/>
    </row>
    <row r="706" spans="14:17">
      <c r="N706"/>
      <c r="O706"/>
      <c r="P706"/>
      <c r="Q706"/>
    </row>
    <row r="707" spans="14:17">
      <c r="N707"/>
      <c r="O707"/>
      <c r="P707"/>
      <c r="Q707"/>
    </row>
    <row r="708" spans="14:17">
      <c r="N708"/>
      <c r="O708"/>
      <c r="P708"/>
      <c r="Q708"/>
    </row>
    <row r="709" spans="14:17">
      <c r="N709"/>
      <c r="O709"/>
      <c r="P709"/>
      <c r="Q709"/>
    </row>
    <row r="710" spans="14:17">
      <c r="N710"/>
      <c r="O710"/>
      <c r="P710"/>
      <c r="Q710"/>
    </row>
    <row r="711" spans="14:17">
      <c r="N711"/>
      <c r="O711"/>
      <c r="P711"/>
      <c r="Q711"/>
    </row>
    <row r="712" spans="14:17">
      <c r="N712"/>
      <c r="O712"/>
      <c r="P712"/>
      <c r="Q712"/>
    </row>
    <row r="713" spans="14:17">
      <c r="N713"/>
      <c r="O713"/>
      <c r="P713"/>
      <c r="Q713"/>
    </row>
    <row r="714" spans="14:17">
      <c r="N714"/>
      <c r="O714"/>
      <c r="P714"/>
      <c r="Q714"/>
    </row>
    <row r="715" spans="14:17">
      <c r="N715"/>
      <c r="O715"/>
      <c r="P715"/>
      <c r="Q715"/>
    </row>
    <row r="716" spans="14:17">
      <c r="N716"/>
      <c r="O716"/>
      <c r="P716"/>
      <c r="Q716"/>
    </row>
    <row r="717" spans="14:17">
      <c r="N717"/>
      <c r="O717"/>
      <c r="P717"/>
      <c r="Q717"/>
    </row>
    <row r="718" spans="14:17">
      <c r="N718"/>
      <c r="O718"/>
      <c r="P718"/>
      <c r="Q718"/>
    </row>
    <row r="719" spans="14:17">
      <c r="N719"/>
      <c r="O719"/>
      <c r="P719"/>
      <c r="Q719"/>
    </row>
    <row r="720" spans="14:17">
      <c r="N720"/>
      <c r="O720"/>
      <c r="P720"/>
      <c r="Q720"/>
    </row>
    <row r="721" spans="14:17">
      <c r="N721"/>
      <c r="O721"/>
      <c r="P721"/>
      <c r="Q721"/>
    </row>
    <row r="722" spans="14:17">
      <c r="N722"/>
      <c r="O722"/>
      <c r="P722"/>
      <c r="Q722"/>
    </row>
    <row r="723" spans="14:17">
      <c r="N723"/>
      <c r="O723"/>
      <c r="P723"/>
      <c r="Q723"/>
    </row>
    <row r="724" spans="14:17">
      <c r="N724"/>
      <c r="O724"/>
      <c r="P724"/>
      <c r="Q724"/>
    </row>
    <row r="725" spans="14:17">
      <c r="N725"/>
      <c r="O725"/>
      <c r="P725"/>
      <c r="Q725"/>
    </row>
    <row r="726" spans="14:17">
      <c r="N726"/>
      <c r="O726"/>
      <c r="P726"/>
      <c r="Q726"/>
    </row>
    <row r="727" spans="14:17">
      <c r="N727"/>
      <c r="O727"/>
      <c r="P727"/>
      <c r="Q727"/>
    </row>
    <row r="728" spans="14:17">
      <c r="N728"/>
      <c r="O728"/>
      <c r="P728"/>
      <c r="Q728"/>
    </row>
    <row r="729" spans="14:17">
      <c r="N729"/>
      <c r="O729"/>
      <c r="P729"/>
      <c r="Q729"/>
    </row>
    <row r="730" spans="14:17">
      <c r="N730"/>
      <c r="O730"/>
      <c r="P730"/>
      <c r="Q730"/>
    </row>
    <row r="731" spans="14:17">
      <c r="N731"/>
      <c r="O731"/>
      <c r="P731"/>
      <c r="Q731"/>
    </row>
    <row r="732" spans="14:17">
      <c r="N732"/>
      <c r="O732"/>
      <c r="P732"/>
      <c r="Q732"/>
    </row>
    <row r="733" spans="14:17">
      <c r="N733"/>
      <c r="O733"/>
      <c r="P733"/>
      <c r="Q733"/>
    </row>
    <row r="734" spans="14:17">
      <c r="N734"/>
      <c r="O734"/>
      <c r="P734"/>
      <c r="Q734"/>
    </row>
    <row r="735" spans="14:17">
      <c r="N735"/>
      <c r="O735"/>
      <c r="P735"/>
      <c r="Q735"/>
    </row>
    <row r="736" spans="14:17">
      <c r="N736"/>
      <c r="O736"/>
      <c r="P736"/>
      <c r="Q736"/>
    </row>
    <row r="737" spans="14:17">
      <c r="N737"/>
      <c r="O737"/>
      <c r="P737"/>
      <c r="Q737"/>
    </row>
    <row r="738" spans="14:17">
      <c r="N738"/>
      <c r="O738"/>
      <c r="P738"/>
      <c r="Q738"/>
    </row>
    <row r="739" spans="14:17">
      <c r="N739"/>
      <c r="O739"/>
      <c r="P739"/>
      <c r="Q739"/>
    </row>
    <row r="740" spans="14:17">
      <c r="N740"/>
      <c r="O740"/>
      <c r="P740"/>
      <c r="Q740"/>
    </row>
    <row r="741" spans="14:17">
      <c r="N741"/>
      <c r="O741"/>
      <c r="P741"/>
      <c r="Q741"/>
    </row>
    <row r="742" spans="14:17">
      <c r="N742"/>
      <c r="O742"/>
      <c r="P742"/>
      <c r="Q742"/>
    </row>
    <row r="743" spans="14:17">
      <c r="N743"/>
      <c r="O743"/>
      <c r="P743"/>
      <c r="Q743"/>
    </row>
    <row r="744" spans="14:17">
      <c r="N744"/>
      <c r="O744"/>
      <c r="P744"/>
      <c r="Q744"/>
    </row>
    <row r="745" spans="14:17">
      <c r="N745"/>
      <c r="O745"/>
      <c r="P745"/>
      <c r="Q745"/>
    </row>
    <row r="746" spans="14:17">
      <c r="N746"/>
      <c r="O746"/>
      <c r="P746"/>
      <c r="Q746"/>
    </row>
    <row r="747" spans="14:17">
      <c r="N747"/>
      <c r="O747"/>
      <c r="P747"/>
      <c r="Q747"/>
    </row>
    <row r="748" spans="14:17">
      <c r="N748"/>
      <c r="O748"/>
      <c r="P748"/>
      <c r="Q748"/>
    </row>
    <row r="749" spans="14:17">
      <c r="N749"/>
      <c r="O749"/>
      <c r="P749"/>
      <c r="Q749"/>
    </row>
    <row r="750" spans="14:17">
      <c r="N750"/>
      <c r="O750"/>
      <c r="P750"/>
      <c r="Q750"/>
    </row>
    <row r="751" spans="14:17">
      <c r="N751"/>
      <c r="O751"/>
      <c r="P751"/>
      <c r="Q751"/>
    </row>
    <row r="752" spans="14:17">
      <c r="N752"/>
      <c r="O752"/>
      <c r="P752"/>
      <c r="Q752"/>
    </row>
    <row r="753" spans="14:17">
      <c r="N753"/>
      <c r="O753"/>
      <c r="P753"/>
      <c r="Q753"/>
    </row>
    <row r="754" spans="14:17">
      <c r="N754"/>
      <c r="O754"/>
      <c r="P754"/>
      <c r="Q754"/>
    </row>
    <row r="755" spans="14:17">
      <c r="N755"/>
      <c r="O755"/>
      <c r="P755"/>
      <c r="Q755"/>
    </row>
    <row r="756" spans="14:17">
      <c r="N756"/>
      <c r="O756"/>
      <c r="P756"/>
      <c r="Q756"/>
    </row>
    <row r="757" spans="14:17">
      <c r="N757"/>
      <c r="O757"/>
      <c r="P757"/>
      <c r="Q757"/>
    </row>
    <row r="758" spans="14:17">
      <c r="N758"/>
      <c r="O758"/>
      <c r="P758"/>
      <c r="Q758"/>
    </row>
    <row r="759" spans="14:17">
      <c r="N759"/>
      <c r="O759"/>
      <c r="P759"/>
      <c r="Q759"/>
    </row>
    <row r="760" spans="14:17">
      <c r="N760"/>
      <c r="O760"/>
      <c r="P760"/>
      <c r="Q760"/>
    </row>
    <row r="761" spans="14:17">
      <c r="N761"/>
      <c r="O761"/>
      <c r="P761"/>
      <c r="Q761"/>
    </row>
    <row r="762" spans="14:17">
      <c r="N762"/>
      <c r="O762"/>
      <c r="P762"/>
      <c r="Q762"/>
    </row>
    <row r="763" spans="14:17">
      <c r="N763"/>
      <c r="O763"/>
      <c r="P763"/>
      <c r="Q763"/>
    </row>
    <row r="764" spans="14:17">
      <c r="N764"/>
      <c r="O764"/>
      <c r="P764"/>
      <c r="Q764"/>
    </row>
    <row r="765" spans="14:17">
      <c r="N765"/>
      <c r="O765"/>
      <c r="P765"/>
      <c r="Q765"/>
    </row>
    <row r="766" spans="14:17">
      <c r="N766"/>
      <c r="O766"/>
      <c r="P766"/>
      <c r="Q766"/>
    </row>
    <row r="767" spans="14:17">
      <c r="N767"/>
      <c r="O767"/>
      <c r="P767"/>
      <c r="Q767"/>
    </row>
    <row r="768" spans="14:17">
      <c r="N768"/>
      <c r="O768"/>
      <c r="P768"/>
      <c r="Q768"/>
    </row>
    <row r="769" spans="14:17">
      <c r="N769"/>
      <c r="O769"/>
      <c r="P769"/>
      <c r="Q769"/>
    </row>
    <row r="770" spans="14:17">
      <c r="N770"/>
      <c r="O770"/>
      <c r="P770"/>
      <c r="Q770"/>
    </row>
    <row r="771" spans="14:17">
      <c r="N771"/>
      <c r="O771"/>
      <c r="P771"/>
      <c r="Q771"/>
    </row>
    <row r="772" spans="14:17">
      <c r="N772"/>
      <c r="O772"/>
      <c r="P772"/>
      <c r="Q772"/>
    </row>
    <row r="773" spans="14:17">
      <c r="N773"/>
      <c r="O773"/>
      <c r="P773"/>
      <c r="Q773"/>
    </row>
    <row r="774" spans="14:17">
      <c r="N774"/>
      <c r="O774"/>
      <c r="P774"/>
      <c r="Q774"/>
    </row>
    <row r="775" spans="14:17">
      <c r="N775"/>
      <c r="O775"/>
      <c r="P775"/>
      <c r="Q775"/>
    </row>
    <row r="776" spans="14:17">
      <c r="N776"/>
      <c r="O776"/>
      <c r="P776"/>
      <c r="Q776"/>
    </row>
    <row r="777" spans="14:17">
      <c r="N777"/>
      <c r="O777"/>
      <c r="P777"/>
      <c r="Q777"/>
    </row>
    <row r="778" spans="14:17">
      <c r="N778"/>
      <c r="O778"/>
      <c r="P778"/>
      <c r="Q778"/>
    </row>
    <row r="779" spans="14:17">
      <c r="N779"/>
      <c r="O779"/>
      <c r="P779"/>
      <c r="Q779"/>
    </row>
    <row r="780" spans="14:17">
      <c r="N780"/>
      <c r="O780"/>
      <c r="P780"/>
      <c r="Q780"/>
    </row>
    <row r="781" spans="14:17">
      <c r="N781"/>
      <c r="O781"/>
      <c r="P781"/>
      <c r="Q781"/>
    </row>
    <row r="782" spans="14:17">
      <c r="N782"/>
      <c r="O782"/>
      <c r="P782"/>
      <c r="Q782"/>
    </row>
    <row r="783" spans="14:17">
      <c r="N783"/>
      <c r="O783"/>
      <c r="P783"/>
      <c r="Q783"/>
    </row>
    <row r="784" spans="14:17">
      <c r="N784"/>
      <c r="O784"/>
      <c r="P784"/>
      <c r="Q784"/>
    </row>
    <row r="785" spans="14:17">
      <c r="N785"/>
      <c r="O785"/>
      <c r="P785"/>
      <c r="Q785"/>
    </row>
    <row r="786" spans="14:17">
      <c r="N786"/>
      <c r="O786"/>
      <c r="P786"/>
      <c r="Q786"/>
    </row>
    <row r="787" spans="14:17">
      <c r="N787"/>
      <c r="O787"/>
      <c r="P787"/>
      <c r="Q787"/>
    </row>
    <row r="788" spans="14:17">
      <c r="N788"/>
      <c r="O788"/>
      <c r="P788"/>
      <c r="Q788"/>
    </row>
    <row r="789" spans="14:17">
      <c r="N789"/>
      <c r="O789"/>
      <c r="P789"/>
      <c r="Q789"/>
    </row>
    <row r="790" spans="14:17">
      <c r="N790"/>
      <c r="O790"/>
      <c r="P790"/>
      <c r="Q790"/>
    </row>
    <row r="791" spans="14:17">
      <c r="N791"/>
      <c r="O791"/>
      <c r="P791"/>
      <c r="Q791"/>
    </row>
    <row r="792" spans="14:17">
      <c r="N792"/>
      <c r="O792"/>
      <c r="P792"/>
      <c r="Q792"/>
    </row>
    <row r="793" spans="14:17">
      <c r="N793"/>
      <c r="O793"/>
      <c r="P793"/>
      <c r="Q793"/>
    </row>
    <row r="794" spans="14:17">
      <c r="N794"/>
      <c r="O794"/>
      <c r="P794"/>
      <c r="Q794"/>
    </row>
    <row r="795" spans="14:17">
      <c r="N795"/>
      <c r="O795"/>
      <c r="P795"/>
      <c r="Q795"/>
    </row>
    <row r="796" spans="14:17">
      <c r="N796"/>
      <c r="O796"/>
      <c r="P796"/>
      <c r="Q796"/>
    </row>
    <row r="797" spans="14:17">
      <c r="N797"/>
      <c r="O797"/>
      <c r="P797"/>
      <c r="Q797"/>
    </row>
    <row r="798" spans="14:17">
      <c r="N798"/>
      <c r="O798"/>
      <c r="P798"/>
      <c r="Q798"/>
    </row>
    <row r="799" spans="14:17">
      <c r="N799"/>
      <c r="O799"/>
      <c r="P799"/>
      <c r="Q799"/>
    </row>
    <row r="800" spans="14:17">
      <c r="N800"/>
      <c r="O800"/>
      <c r="P800"/>
      <c r="Q800"/>
    </row>
    <row r="801" spans="14:17">
      <c r="N801"/>
      <c r="O801"/>
      <c r="P801"/>
      <c r="Q801"/>
    </row>
    <row r="802" spans="14:17">
      <c r="N802"/>
      <c r="O802"/>
      <c r="P802"/>
      <c r="Q802"/>
    </row>
    <row r="803" spans="14:17">
      <c r="N803"/>
      <c r="O803"/>
      <c r="P803"/>
      <c r="Q803"/>
    </row>
    <row r="804" spans="14:17">
      <c r="N804"/>
      <c r="O804"/>
      <c r="P804"/>
      <c r="Q804"/>
    </row>
    <row r="805" spans="14:17">
      <c r="N805"/>
      <c r="O805"/>
      <c r="P805"/>
      <c r="Q805"/>
    </row>
    <row r="806" spans="14:17">
      <c r="N806"/>
      <c r="O806"/>
      <c r="P806"/>
      <c r="Q806"/>
    </row>
    <row r="807" spans="14:17">
      <c r="N807"/>
      <c r="O807"/>
      <c r="P807"/>
      <c r="Q807"/>
    </row>
    <row r="808" spans="14:17">
      <c r="N808"/>
      <c r="O808"/>
      <c r="P808"/>
      <c r="Q808"/>
    </row>
    <row r="809" spans="14:17">
      <c r="N809"/>
      <c r="O809"/>
      <c r="P809"/>
      <c r="Q809"/>
    </row>
    <row r="810" spans="14:17">
      <c r="N810"/>
      <c r="O810"/>
      <c r="P810"/>
      <c r="Q810"/>
    </row>
    <row r="811" spans="14:17">
      <c r="N811"/>
      <c r="O811"/>
      <c r="P811"/>
      <c r="Q811"/>
    </row>
    <row r="812" spans="14:17">
      <c r="N812"/>
      <c r="O812"/>
      <c r="P812"/>
      <c r="Q812"/>
    </row>
    <row r="813" spans="14:17">
      <c r="N813"/>
      <c r="O813"/>
      <c r="P813"/>
      <c r="Q813"/>
    </row>
    <row r="814" spans="14:17">
      <c r="N814"/>
      <c r="O814"/>
      <c r="P814"/>
      <c r="Q814"/>
    </row>
    <row r="815" spans="14:17">
      <c r="N815"/>
      <c r="O815"/>
      <c r="P815"/>
      <c r="Q815"/>
    </row>
    <row r="816" spans="14:17">
      <c r="N816"/>
      <c r="O816"/>
      <c r="P816"/>
      <c r="Q816"/>
    </row>
    <row r="817" spans="14:17">
      <c r="N817"/>
      <c r="O817"/>
      <c r="P817"/>
      <c r="Q817"/>
    </row>
    <row r="818" spans="14:17">
      <c r="N818"/>
      <c r="O818"/>
      <c r="P818"/>
      <c r="Q818"/>
    </row>
    <row r="819" spans="14:17">
      <c r="N819"/>
      <c r="O819"/>
      <c r="P819"/>
      <c r="Q819"/>
    </row>
    <row r="820" spans="14:17">
      <c r="N820"/>
      <c r="O820"/>
      <c r="P820"/>
      <c r="Q820"/>
    </row>
    <row r="821" spans="14:17">
      <c r="N821"/>
      <c r="O821"/>
      <c r="P821"/>
      <c r="Q821"/>
    </row>
    <row r="822" spans="14:17">
      <c r="N822"/>
      <c r="O822"/>
      <c r="P822"/>
      <c r="Q822"/>
    </row>
    <row r="823" spans="14:17">
      <c r="N823"/>
      <c r="O823"/>
      <c r="P823"/>
      <c r="Q823"/>
    </row>
    <row r="824" spans="14:17">
      <c r="N824"/>
      <c r="O824"/>
      <c r="P824"/>
      <c r="Q824"/>
    </row>
    <row r="825" spans="14:17">
      <c r="N825"/>
      <c r="O825"/>
      <c r="P825"/>
      <c r="Q825"/>
    </row>
    <row r="826" spans="14:17">
      <c r="N826"/>
      <c r="O826"/>
      <c r="P826"/>
      <c r="Q826"/>
    </row>
    <row r="827" spans="14:17">
      <c r="N827"/>
      <c r="O827"/>
      <c r="P827"/>
      <c r="Q827"/>
    </row>
    <row r="828" spans="14:17">
      <c r="N828"/>
      <c r="O828"/>
      <c r="P828"/>
      <c r="Q828"/>
    </row>
    <row r="829" spans="14:17">
      <c r="N829"/>
      <c r="O829"/>
      <c r="P829"/>
      <c r="Q829"/>
    </row>
    <row r="830" spans="14:17">
      <c r="N830"/>
      <c r="O830"/>
      <c r="P830"/>
      <c r="Q830"/>
    </row>
    <row r="831" spans="14:17">
      <c r="N831"/>
      <c r="O831"/>
      <c r="P831"/>
      <c r="Q831"/>
    </row>
    <row r="832" spans="14:17">
      <c r="N832"/>
      <c r="O832"/>
      <c r="P832"/>
      <c r="Q832"/>
    </row>
    <row r="833" spans="14:17">
      <c r="N833"/>
      <c r="O833"/>
      <c r="P833"/>
      <c r="Q833"/>
    </row>
    <row r="834" spans="14:17">
      <c r="N834"/>
      <c r="O834"/>
      <c r="P834"/>
      <c r="Q834"/>
    </row>
    <row r="835" spans="14:17">
      <c r="N835"/>
      <c r="O835"/>
      <c r="P835"/>
      <c r="Q835"/>
    </row>
    <row r="836" spans="14:17">
      <c r="N836"/>
      <c r="O836"/>
      <c r="P836"/>
      <c r="Q836"/>
    </row>
    <row r="837" spans="14:17">
      <c r="N837"/>
      <c r="O837"/>
      <c r="P837"/>
      <c r="Q837"/>
    </row>
    <row r="838" spans="14:17">
      <c r="N838"/>
      <c r="O838"/>
      <c r="P838"/>
      <c r="Q838"/>
    </row>
    <row r="839" spans="14:17">
      <c r="N839"/>
      <c r="O839"/>
      <c r="P839"/>
      <c r="Q839"/>
    </row>
    <row r="840" spans="14:17">
      <c r="N840"/>
      <c r="O840"/>
      <c r="P840"/>
      <c r="Q840"/>
    </row>
    <row r="841" spans="14:17">
      <c r="N841"/>
      <c r="O841"/>
      <c r="P841"/>
      <c r="Q841"/>
    </row>
    <row r="842" spans="14:17">
      <c r="N842"/>
      <c r="O842"/>
      <c r="P842"/>
      <c r="Q842"/>
    </row>
    <row r="843" spans="14:17">
      <c r="N843"/>
      <c r="O843"/>
      <c r="P843"/>
      <c r="Q843"/>
    </row>
    <row r="844" spans="14:17">
      <c r="N844"/>
      <c r="O844"/>
      <c r="P844"/>
      <c r="Q844"/>
    </row>
    <row r="845" spans="14:17">
      <c r="N845"/>
      <c r="O845"/>
      <c r="P845"/>
      <c r="Q845"/>
    </row>
    <row r="846" spans="14:17">
      <c r="N846"/>
      <c r="O846"/>
      <c r="P846"/>
      <c r="Q846"/>
    </row>
    <row r="847" spans="14:17">
      <c r="N847"/>
      <c r="O847"/>
      <c r="P847"/>
      <c r="Q847"/>
    </row>
    <row r="848" spans="14:17">
      <c r="N848"/>
      <c r="O848"/>
      <c r="P848"/>
      <c r="Q848"/>
    </row>
    <row r="849" spans="14:17">
      <c r="N849"/>
      <c r="O849"/>
      <c r="P849"/>
      <c r="Q849"/>
    </row>
    <row r="850" spans="14:17">
      <c r="N850"/>
      <c r="O850"/>
      <c r="P850"/>
      <c r="Q850"/>
    </row>
    <row r="851" spans="14:17">
      <c r="N851"/>
      <c r="O851"/>
      <c r="P851"/>
      <c r="Q851"/>
    </row>
    <row r="852" spans="14:17">
      <c r="N852"/>
      <c r="O852"/>
      <c r="P852"/>
      <c r="Q852"/>
    </row>
    <row r="853" spans="14:17">
      <c r="N853"/>
      <c r="O853"/>
      <c r="P853"/>
      <c r="Q853"/>
    </row>
    <row r="854" spans="14:17">
      <c r="N854"/>
      <c r="O854"/>
      <c r="P854"/>
      <c r="Q854"/>
    </row>
    <row r="855" spans="14:17">
      <c r="N855"/>
      <c r="O855"/>
      <c r="P855"/>
      <c r="Q855"/>
    </row>
    <row r="856" spans="14:17">
      <c r="N856"/>
      <c r="O856"/>
      <c r="P856"/>
      <c r="Q856"/>
    </row>
    <row r="857" spans="14:17">
      <c r="N857"/>
      <c r="O857"/>
      <c r="P857"/>
      <c r="Q857"/>
    </row>
    <row r="858" spans="14:17">
      <c r="N858"/>
      <c r="O858"/>
      <c r="P858"/>
      <c r="Q858"/>
    </row>
    <row r="859" spans="14:17">
      <c r="N859"/>
      <c r="O859"/>
      <c r="P859"/>
      <c r="Q859"/>
    </row>
    <row r="860" spans="14:17">
      <c r="N860"/>
      <c r="O860"/>
      <c r="P860"/>
      <c r="Q860"/>
    </row>
    <row r="861" spans="14:17">
      <c r="N861"/>
      <c r="O861"/>
      <c r="P861"/>
      <c r="Q861"/>
    </row>
    <row r="862" spans="14:17">
      <c r="N862"/>
      <c r="O862"/>
      <c r="P862"/>
      <c r="Q862"/>
    </row>
    <row r="863" spans="14:17">
      <c r="N863"/>
      <c r="O863"/>
      <c r="P863"/>
      <c r="Q863"/>
    </row>
    <row r="864" spans="14:17">
      <c r="N864"/>
      <c r="O864"/>
      <c r="P864"/>
      <c r="Q864"/>
    </row>
    <row r="865" spans="14:17">
      <c r="N865"/>
      <c r="O865"/>
      <c r="P865"/>
      <c r="Q865"/>
    </row>
    <row r="866" spans="14:17">
      <c r="N866"/>
      <c r="O866"/>
      <c r="P866"/>
      <c r="Q866"/>
    </row>
    <row r="867" spans="14:17">
      <c r="N867"/>
      <c r="O867"/>
      <c r="P867"/>
      <c r="Q867"/>
    </row>
    <row r="868" spans="14:17">
      <c r="N868"/>
      <c r="O868"/>
      <c r="P868"/>
      <c r="Q868"/>
    </row>
    <row r="869" spans="14:17">
      <c r="N869"/>
      <c r="O869"/>
      <c r="P869"/>
      <c r="Q869"/>
    </row>
    <row r="870" spans="14:17">
      <c r="N870"/>
      <c r="O870"/>
      <c r="P870"/>
      <c r="Q870"/>
    </row>
    <row r="871" spans="14:17">
      <c r="N871"/>
      <c r="O871"/>
      <c r="P871"/>
      <c r="Q871"/>
    </row>
    <row r="872" spans="14:17">
      <c r="N872"/>
      <c r="O872"/>
      <c r="P872"/>
      <c r="Q872"/>
    </row>
    <row r="873" spans="14:17">
      <c r="N873"/>
      <c r="O873"/>
      <c r="P873"/>
      <c r="Q873"/>
    </row>
    <row r="874" spans="14:17">
      <c r="N874"/>
      <c r="O874"/>
      <c r="P874"/>
      <c r="Q874"/>
    </row>
    <row r="875" spans="14:17">
      <c r="N875"/>
      <c r="O875"/>
      <c r="P875"/>
      <c r="Q875"/>
    </row>
    <row r="876" spans="14:17">
      <c r="N876"/>
      <c r="O876"/>
      <c r="P876"/>
      <c r="Q876"/>
    </row>
    <row r="877" spans="14:17">
      <c r="N877"/>
      <c r="O877"/>
      <c r="P877"/>
      <c r="Q877"/>
    </row>
    <row r="878" spans="14:17">
      <c r="N878"/>
      <c r="O878"/>
      <c r="P878"/>
      <c r="Q878"/>
    </row>
    <row r="879" spans="14:17">
      <c r="N879"/>
      <c r="O879"/>
      <c r="P879"/>
      <c r="Q879"/>
    </row>
    <row r="880" spans="14:17">
      <c r="N880"/>
      <c r="O880"/>
      <c r="P880"/>
      <c r="Q880"/>
    </row>
    <row r="881" spans="14:17">
      <c r="N881"/>
      <c r="O881"/>
      <c r="P881"/>
      <c r="Q881"/>
    </row>
    <row r="882" spans="14:17">
      <c r="N882"/>
      <c r="O882"/>
      <c r="P882"/>
      <c r="Q882"/>
    </row>
    <row r="883" spans="14:17">
      <c r="N883"/>
      <c r="O883"/>
      <c r="P883"/>
      <c r="Q883"/>
    </row>
    <row r="884" spans="14:17">
      <c r="N884"/>
      <c r="O884"/>
      <c r="P884"/>
      <c r="Q884"/>
    </row>
    <row r="885" spans="14:17">
      <c r="N885"/>
      <c r="O885"/>
      <c r="P885"/>
      <c r="Q885"/>
    </row>
    <row r="886" spans="14:17">
      <c r="N886"/>
      <c r="O886"/>
      <c r="P886"/>
      <c r="Q886"/>
    </row>
    <row r="887" spans="14:17">
      <c r="N887"/>
      <c r="O887"/>
      <c r="P887"/>
      <c r="Q887"/>
    </row>
    <row r="888" spans="14:17">
      <c r="N888"/>
      <c r="O888"/>
      <c r="P888"/>
      <c r="Q888"/>
    </row>
    <row r="889" spans="14:17">
      <c r="N889"/>
      <c r="O889"/>
      <c r="P889"/>
      <c r="Q889"/>
    </row>
    <row r="890" spans="14:17">
      <c r="N890"/>
      <c r="O890"/>
      <c r="P890"/>
      <c r="Q890"/>
    </row>
    <row r="891" spans="14:17">
      <c r="N891"/>
      <c r="O891"/>
      <c r="P891"/>
      <c r="Q891"/>
    </row>
    <row r="892" spans="14:17">
      <c r="N892"/>
      <c r="O892"/>
      <c r="P892"/>
      <c r="Q892"/>
    </row>
    <row r="893" spans="14:17">
      <c r="N893"/>
      <c r="O893"/>
      <c r="P893"/>
      <c r="Q893"/>
    </row>
    <row r="894" spans="14:17">
      <c r="N894"/>
      <c r="O894"/>
      <c r="P894"/>
      <c r="Q894"/>
    </row>
    <row r="895" spans="14:17">
      <c r="N895"/>
      <c r="O895"/>
      <c r="P895"/>
      <c r="Q895"/>
    </row>
    <row r="896" spans="14:17">
      <c r="N896"/>
      <c r="O896"/>
      <c r="P896"/>
      <c r="Q896"/>
    </row>
    <row r="897" spans="14:17">
      <c r="N897"/>
      <c r="O897"/>
      <c r="P897"/>
      <c r="Q897"/>
    </row>
    <row r="898" spans="14:17">
      <c r="N898"/>
      <c r="O898"/>
      <c r="P898"/>
      <c r="Q898"/>
    </row>
    <row r="899" spans="14:17">
      <c r="N899"/>
      <c r="O899"/>
      <c r="P899"/>
      <c r="Q899"/>
    </row>
    <row r="900" spans="14:17">
      <c r="N900"/>
      <c r="O900"/>
      <c r="P900"/>
      <c r="Q900"/>
    </row>
    <row r="901" spans="14:17">
      <c r="N901"/>
      <c r="O901"/>
      <c r="P901"/>
      <c r="Q901"/>
    </row>
    <row r="902" spans="14:17">
      <c r="N902"/>
      <c r="O902"/>
      <c r="P902"/>
      <c r="Q902"/>
    </row>
    <row r="903" spans="14:17">
      <c r="N903"/>
      <c r="O903"/>
      <c r="P903"/>
      <c r="Q903"/>
    </row>
    <row r="904" spans="14:17">
      <c r="N904"/>
      <c r="O904"/>
      <c r="P904"/>
      <c r="Q904"/>
    </row>
    <row r="905" spans="14:17">
      <c r="N905"/>
      <c r="O905"/>
      <c r="P905"/>
      <c r="Q905"/>
    </row>
    <row r="906" spans="14:17">
      <c r="N906"/>
      <c r="O906"/>
      <c r="P906"/>
      <c r="Q906"/>
    </row>
    <row r="907" spans="14:17">
      <c r="N907"/>
      <c r="O907"/>
      <c r="P907"/>
      <c r="Q907"/>
    </row>
    <row r="908" spans="14:17">
      <c r="N908"/>
      <c r="O908"/>
      <c r="P908"/>
      <c r="Q908"/>
    </row>
    <row r="909" spans="14:17">
      <c r="N909"/>
      <c r="O909"/>
      <c r="P909"/>
      <c r="Q909"/>
    </row>
    <row r="910" spans="14:17">
      <c r="N910"/>
      <c r="O910"/>
      <c r="P910"/>
      <c r="Q910"/>
    </row>
    <row r="911" spans="14:17">
      <c r="N911"/>
      <c r="O911"/>
      <c r="P911"/>
      <c r="Q911"/>
    </row>
    <row r="912" spans="14:17">
      <c r="N912"/>
      <c r="O912"/>
      <c r="P912"/>
      <c r="Q912"/>
    </row>
    <row r="913" spans="14:17">
      <c r="N913"/>
      <c r="O913"/>
      <c r="P913"/>
      <c r="Q913"/>
    </row>
    <row r="914" spans="14:17">
      <c r="N914"/>
      <c r="O914"/>
      <c r="P914"/>
      <c r="Q914"/>
    </row>
    <row r="915" spans="14:17">
      <c r="N915"/>
      <c r="O915"/>
      <c r="P915"/>
      <c r="Q915"/>
    </row>
    <row r="916" spans="14:17">
      <c r="N916"/>
      <c r="O916"/>
      <c r="P916"/>
      <c r="Q916"/>
    </row>
    <row r="917" spans="14:17">
      <c r="N917"/>
      <c r="O917"/>
      <c r="P917"/>
      <c r="Q917"/>
    </row>
    <row r="918" spans="14:17">
      <c r="N918"/>
      <c r="O918"/>
      <c r="P918"/>
      <c r="Q918"/>
    </row>
    <row r="919" spans="14:17">
      <c r="N919"/>
      <c r="O919"/>
      <c r="P919"/>
      <c r="Q919"/>
    </row>
    <row r="920" spans="14:17">
      <c r="N920"/>
      <c r="O920"/>
      <c r="P920"/>
      <c r="Q920"/>
    </row>
    <row r="921" spans="14:17">
      <c r="N921"/>
      <c r="O921"/>
      <c r="P921"/>
      <c r="Q921"/>
    </row>
    <row r="922" spans="14:17">
      <c r="N922"/>
      <c r="O922"/>
      <c r="P922"/>
      <c r="Q922"/>
    </row>
    <row r="923" spans="14:17">
      <c r="N923"/>
      <c r="O923"/>
      <c r="P923"/>
      <c r="Q923"/>
    </row>
    <row r="924" spans="14:17">
      <c r="N924"/>
      <c r="O924"/>
      <c r="P924"/>
      <c r="Q924"/>
    </row>
    <row r="925" spans="14:17">
      <c r="N925"/>
      <c r="O925"/>
      <c r="P925"/>
      <c r="Q925"/>
    </row>
    <row r="926" spans="14:17">
      <c r="N926"/>
      <c r="O926"/>
      <c r="P926"/>
      <c r="Q926"/>
    </row>
    <row r="927" spans="14:17">
      <c r="N927"/>
      <c r="O927"/>
      <c r="P927"/>
      <c r="Q927"/>
    </row>
    <row r="928" spans="14:17">
      <c r="N928"/>
      <c r="O928"/>
      <c r="P928"/>
      <c r="Q928"/>
    </row>
    <row r="929" spans="14:17">
      <c r="N929"/>
      <c r="O929"/>
      <c r="P929"/>
      <c r="Q929"/>
    </row>
    <row r="930" spans="14:17">
      <c r="N930"/>
      <c r="O930"/>
      <c r="P930"/>
      <c r="Q930"/>
    </row>
    <row r="931" spans="14:17">
      <c r="N931"/>
      <c r="O931"/>
      <c r="P931"/>
      <c r="Q931"/>
    </row>
    <row r="932" spans="14:17">
      <c r="N932"/>
      <c r="O932"/>
      <c r="P932"/>
      <c r="Q932"/>
    </row>
    <row r="933" spans="14:17">
      <c r="N933"/>
      <c r="O933"/>
      <c r="P933"/>
      <c r="Q933"/>
    </row>
    <row r="934" spans="14:17">
      <c r="N934"/>
      <c r="O934"/>
      <c r="P934"/>
      <c r="Q934"/>
    </row>
    <row r="935" spans="14:17">
      <c r="N935"/>
      <c r="O935"/>
      <c r="P935"/>
      <c r="Q935"/>
    </row>
    <row r="936" spans="14:17">
      <c r="N936"/>
      <c r="O936"/>
      <c r="P936"/>
      <c r="Q936"/>
    </row>
    <row r="937" spans="14:17">
      <c r="N937"/>
      <c r="O937"/>
      <c r="P937"/>
      <c r="Q937"/>
    </row>
    <row r="938" spans="14:17">
      <c r="N938"/>
      <c r="O938"/>
      <c r="P938"/>
      <c r="Q938"/>
    </row>
    <row r="939" spans="14:17">
      <c r="N939"/>
      <c r="O939"/>
      <c r="P939"/>
      <c r="Q939"/>
    </row>
    <row r="940" spans="14:17">
      <c r="N940"/>
      <c r="O940"/>
      <c r="P940"/>
      <c r="Q940"/>
    </row>
    <row r="941" spans="14:17">
      <c r="N941"/>
      <c r="O941"/>
      <c r="P941"/>
      <c r="Q941"/>
    </row>
    <row r="942" spans="14:17">
      <c r="N942"/>
      <c r="O942"/>
      <c r="P942"/>
      <c r="Q942"/>
    </row>
    <row r="943" spans="14:17">
      <c r="N943"/>
      <c r="O943"/>
      <c r="P943"/>
      <c r="Q943"/>
    </row>
    <row r="944" spans="14:17">
      <c r="N944"/>
      <c r="O944"/>
      <c r="P944"/>
      <c r="Q944"/>
    </row>
    <row r="945" spans="14:17">
      <c r="N945"/>
      <c r="O945"/>
      <c r="P945"/>
      <c r="Q945"/>
    </row>
    <row r="946" spans="14:17">
      <c r="N946"/>
      <c r="O946"/>
      <c r="P946"/>
      <c r="Q946"/>
    </row>
    <row r="947" spans="14:17">
      <c r="N947"/>
      <c r="O947"/>
      <c r="P947"/>
      <c r="Q947"/>
    </row>
    <row r="948" spans="14:17">
      <c r="N948"/>
      <c r="O948"/>
      <c r="P948"/>
      <c r="Q948"/>
    </row>
    <row r="949" spans="14:17">
      <c r="N949"/>
      <c r="O949"/>
      <c r="P949"/>
      <c r="Q949"/>
    </row>
    <row r="950" spans="14:17">
      <c r="N950"/>
      <c r="O950"/>
      <c r="P950"/>
      <c r="Q950"/>
    </row>
    <row r="951" spans="14:17">
      <c r="N951"/>
      <c r="O951"/>
      <c r="P951"/>
      <c r="Q951"/>
    </row>
    <row r="952" spans="14:17">
      <c r="N952"/>
      <c r="O952"/>
      <c r="P952"/>
      <c r="Q952"/>
    </row>
    <row r="953" spans="14:17">
      <c r="N953"/>
      <c r="O953"/>
      <c r="P953"/>
      <c r="Q953"/>
    </row>
    <row r="954" spans="14:17">
      <c r="N954"/>
      <c r="O954"/>
      <c r="P954"/>
      <c r="Q954"/>
    </row>
    <row r="955" spans="14:17">
      <c r="N955"/>
      <c r="O955"/>
      <c r="P955"/>
      <c r="Q955"/>
    </row>
    <row r="956" spans="14:17">
      <c r="N956"/>
      <c r="O956"/>
      <c r="P956"/>
      <c r="Q956"/>
    </row>
    <row r="957" spans="14:17">
      <c r="N957"/>
      <c r="O957"/>
      <c r="P957"/>
      <c r="Q957"/>
    </row>
    <row r="958" spans="14:17">
      <c r="N958"/>
      <c r="O958"/>
      <c r="P958"/>
      <c r="Q958"/>
    </row>
    <row r="959" spans="14:17">
      <c r="N959"/>
      <c r="O959"/>
      <c r="P959"/>
      <c r="Q959"/>
    </row>
    <row r="960" spans="14:17">
      <c r="N960"/>
      <c r="O960"/>
      <c r="P960"/>
      <c r="Q960"/>
    </row>
    <row r="961" spans="14:17">
      <c r="N961"/>
      <c r="O961"/>
      <c r="P961"/>
      <c r="Q961"/>
    </row>
    <row r="962" spans="14:17">
      <c r="N962"/>
      <c r="O962"/>
      <c r="P962"/>
      <c r="Q962"/>
    </row>
    <row r="963" spans="14:17">
      <c r="N963"/>
      <c r="O963"/>
      <c r="P963"/>
      <c r="Q963"/>
    </row>
    <row r="964" spans="14:17">
      <c r="N964"/>
      <c r="O964"/>
      <c r="P964"/>
      <c r="Q964"/>
    </row>
    <row r="965" spans="14:17">
      <c r="N965"/>
      <c r="O965"/>
      <c r="P965"/>
      <c r="Q965"/>
    </row>
    <row r="966" spans="14:17">
      <c r="N966"/>
      <c r="O966"/>
      <c r="P966"/>
      <c r="Q966"/>
    </row>
    <row r="967" spans="14:17">
      <c r="N967"/>
      <c r="O967"/>
      <c r="P967"/>
      <c r="Q967"/>
    </row>
    <row r="968" spans="14:17">
      <c r="N968"/>
      <c r="O968"/>
      <c r="P968"/>
      <c r="Q968"/>
    </row>
    <row r="969" spans="14:17">
      <c r="N969"/>
      <c r="O969"/>
      <c r="P969"/>
      <c r="Q969"/>
    </row>
    <row r="970" spans="14:17">
      <c r="N970"/>
      <c r="O970"/>
      <c r="P970"/>
      <c r="Q970"/>
    </row>
    <row r="971" spans="14:17">
      <c r="N971"/>
      <c r="O971"/>
      <c r="P971"/>
      <c r="Q971"/>
    </row>
    <row r="972" spans="14:17">
      <c r="N972"/>
      <c r="O972"/>
      <c r="P972"/>
      <c r="Q972"/>
    </row>
    <row r="973" spans="14:17">
      <c r="N973"/>
      <c r="O973"/>
      <c r="P973"/>
      <c r="Q973"/>
    </row>
    <row r="974" spans="14:17">
      <c r="N974"/>
      <c r="O974"/>
      <c r="P974"/>
      <c r="Q974"/>
    </row>
    <row r="975" spans="14:17">
      <c r="N975"/>
      <c r="O975"/>
      <c r="P975"/>
      <c r="Q975"/>
    </row>
    <row r="976" spans="14:17">
      <c r="N976"/>
      <c r="O976"/>
      <c r="P976"/>
      <c r="Q976"/>
    </row>
    <row r="977" spans="14:17">
      <c r="N977"/>
      <c r="O977"/>
      <c r="P977"/>
      <c r="Q977"/>
    </row>
    <row r="978" spans="14:17">
      <c r="N978"/>
      <c r="O978"/>
      <c r="P978"/>
      <c r="Q978"/>
    </row>
    <row r="979" spans="14:17">
      <c r="N979"/>
      <c r="O979"/>
      <c r="P979"/>
      <c r="Q979"/>
    </row>
    <row r="980" spans="14:17">
      <c r="N980"/>
      <c r="O980"/>
      <c r="P980"/>
      <c r="Q980"/>
    </row>
    <row r="981" spans="14:17">
      <c r="N981"/>
      <c r="O981"/>
      <c r="P981"/>
      <c r="Q981"/>
    </row>
    <row r="982" spans="14:17">
      <c r="N982"/>
      <c r="O982"/>
      <c r="P982"/>
      <c r="Q982"/>
    </row>
    <row r="983" spans="14:17">
      <c r="N983"/>
      <c r="O983"/>
      <c r="P983"/>
      <c r="Q983"/>
    </row>
    <row r="984" spans="14:17">
      <c r="N984"/>
      <c r="O984"/>
      <c r="P984"/>
      <c r="Q984"/>
    </row>
    <row r="985" spans="14:17">
      <c r="N985"/>
      <c r="O985"/>
      <c r="P985"/>
      <c r="Q985"/>
    </row>
    <row r="986" spans="14:17">
      <c r="N986"/>
      <c r="O986"/>
      <c r="P986"/>
      <c r="Q986"/>
    </row>
    <row r="987" spans="14:17">
      <c r="N987"/>
      <c r="O987"/>
      <c r="P987"/>
      <c r="Q987"/>
    </row>
    <row r="988" spans="14:17">
      <c r="N988"/>
      <c r="O988"/>
      <c r="P988"/>
      <c r="Q988"/>
    </row>
    <row r="989" spans="14:17">
      <c r="N989"/>
      <c r="O989"/>
      <c r="P989"/>
      <c r="Q989"/>
    </row>
    <row r="990" spans="14:17">
      <c r="N990"/>
      <c r="O990"/>
      <c r="P990"/>
      <c r="Q990"/>
    </row>
    <row r="991" spans="14:17">
      <c r="N991"/>
      <c r="O991"/>
      <c r="P991"/>
      <c r="Q991"/>
    </row>
    <row r="992" spans="14:17">
      <c r="N992"/>
      <c r="O992"/>
      <c r="P992"/>
      <c r="Q992"/>
    </row>
    <row r="993" spans="14:17">
      <c r="N993"/>
      <c r="O993"/>
      <c r="P993"/>
      <c r="Q993"/>
    </row>
    <row r="994" spans="14:17">
      <c r="N994"/>
      <c r="O994"/>
      <c r="P994"/>
      <c r="Q994"/>
    </row>
    <row r="995" spans="14:17">
      <c r="N995"/>
      <c r="O995"/>
      <c r="P995"/>
      <c r="Q995"/>
    </row>
    <row r="996" spans="14:17">
      <c r="N996"/>
      <c r="O996"/>
      <c r="P996"/>
      <c r="Q996"/>
    </row>
    <row r="997" spans="14:17">
      <c r="N997"/>
      <c r="O997"/>
      <c r="P997"/>
      <c r="Q997"/>
    </row>
    <row r="998" spans="14:17">
      <c r="N998"/>
      <c r="O998"/>
      <c r="P998"/>
      <c r="Q998"/>
    </row>
    <row r="999" spans="14:17">
      <c r="N999"/>
      <c r="O999"/>
      <c r="P999"/>
      <c r="Q999"/>
    </row>
    <row r="1000" spans="14:17">
      <c r="N1000"/>
      <c r="O1000"/>
      <c r="P1000"/>
      <c r="Q1000"/>
    </row>
    <row r="1001" spans="14:17">
      <c r="N1001"/>
      <c r="O1001"/>
      <c r="P1001"/>
      <c r="Q1001"/>
    </row>
    <row r="1002" spans="14:17">
      <c r="N1002"/>
      <c r="O1002"/>
      <c r="P1002"/>
      <c r="Q1002"/>
    </row>
    <row r="1003" spans="14:17">
      <c r="N1003"/>
      <c r="O1003"/>
      <c r="P1003"/>
      <c r="Q1003"/>
    </row>
    <row r="1004" spans="14:17">
      <c r="N1004"/>
      <c r="O1004"/>
      <c r="P1004"/>
      <c r="Q1004"/>
    </row>
    <row r="1005" spans="14:17">
      <c r="N1005"/>
      <c r="O1005"/>
      <c r="P1005"/>
      <c r="Q1005"/>
    </row>
    <row r="1006" spans="14:17">
      <c r="N1006"/>
      <c r="O1006"/>
      <c r="P1006"/>
      <c r="Q1006"/>
    </row>
    <row r="1007" spans="14:17">
      <c r="N1007"/>
      <c r="O1007"/>
      <c r="P1007"/>
      <c r="Q1007"/>
    </row>
    <row r="1008" spans="14:17">
      <c r="N1008"/>
      <c r="O1008"/>
      <c r="P1008"/>
      <c r="Q1008"/>
    </row>
    <row r="1009" spans="14:17">
      <c r="N1009"/>
      <c r="O1009"/>
      <c r="P1009"/>
      <c r="Q1009"/>
    </row>
    <row r="1010" spans="14:17">
      <c r="N1010"/>
      <c r="O1010"/>
      <c r="P1010"/>
      <c r="Q1010"/>
    </row>
    <row r="1011" spans="14:17">
      <c r="N1011"/>
      <c r="O1011"/>
      <c r="P1011"/>
      <c r="Q1011"/>
    </row>
    <row r="1012" spans="14:17">
      <c r="N1012"/>
      <c r="O1012"/>
      <c r="P1012"/>
      <c r="Q1012"/>
    </row>
    <row r="1013" spans="14:17">
      <c r="N1013"/>
      <c r="O1013"/>
      <c r="P1013"/>
      <c r="Q1013"/>
    </row>
    <row r="1014" spans="14:17">
      <c r="N1014"/>
      <c r="O1014"/>
      <c r="P1014"/>
      <c r="Q1014"/>
    </row>
    <row r="1015" spans="14:17">
      <c r="N1015"/>
      <c r="O1015"/>
      <c r="P1015"/>
      <c r="Q1015"/>
    </row>
    <row r="1016" spans="14:17">
      <c r="N1016"/>
      <c r="O1016"/>
      <c r="P1016"/>
      <c r="Q1016"/>
    </row>
    <row r="1017" spans="14:17">
      <c r="N1017"/>
      <c r="O1017"/>
      <c r="P1017"/>
      <c r="Q1017"/>
    </row>
    <row r="1018" spans="14:17">
      <c r="N1018"/>
      <c r="O1018"/>
      <c r="P1018"/>
      <c r="Q1018"/>
    </row>
    <row r="1019" spans="14:17">
      <c r="N1019"/>
      <c r="O1019"/>
      <c r="P1019"/>
      <c r="Q1019"/>
    </row>
    <row r="1020" spans="14:17">
      <c r="N1020"/>
      <c r="O1020"/>
      <c r="P1020"/>
      <c r="Q1020"/>
    </row>
    <row r="1021" spans="14:17">
      <c r="N1021"/>
      <c r="O1021"/>
      <c r="P1021"/>
      <c r="Q1021"/>
    </row>
    <row r="1022" spans="14:17">
      <c r="N1022"/>
      <c r="O1022"/>
      <c r="P1022"/>
      <c r="Q1022"/>
    </row>
    <row r="1023" spans="14:17">
      <c r="N1023"/>
      <c r="O1023"/>
      <c r="P1023"/>
      <c r="Q1023"/>
    </row>
    <row r="1024" spans="14:17">
      <c r="N1024"/>
      <c r="O1024"/>
      <c r="P1024"/>
      <c r="Q1024"/>
    </row>
    <row r="1025" spans="14:17">
      <c r="N1025"/>
      <c r="O1025"/>
      <c r="P1025"/>
      <c r="Q1025"/>
    </row>
    <row r="1026" spans="14:17">
      <c r="N1026"/>
      <c r="O1026"/>
      <c r="P1026"/>
      <c r="Q1026"/>
    </row>
    <row r="1027" spans="14:17">
      <c r="N1027"/>
      <c r="O1027"/>
      <c r="P1027"/>
      <c r="Q1027"/>
    </row>
    <row r="1028" spans="14:17">
      <c r="N1028"/>
      <c r="O1028"/>
      <c r="P1028"/>
      <c r="Q1028"/>
    </row>
    <row r="1029" spans="14:17">
      <c r="N1029"/>
      <c r="O1029"/>
      <c r="P1029"/>
      <c r="Q1029"/>
    </row>
    <row r="1030" spans="14:17">
      <c r="N1030"/>
      <c r="O1030"/>
      <c r="P1030"/>
      <c r="Q1030"/>
    </row>
    <row r="1031" spans="14:17">
      <c r="N1031"/>
      <c r="O1031"/>
      <c r="P1031"/>
      <c r="Q1031"/>
    </row>
    <row r="1032" spans="14:17">
      <c r="N1032"/>
      <c r="O1032"/>
      <c r="P1032"/>
      <c r="Q1032"/>
    </row>
    <row r="1033" spans="14:17">
      <c r="N1033"/>
      <c r="O1033"/>
      <c r="P1033"/>
      <c r="Q1033"/>
    </row>
    <row r="1034" spans="14:17">
      <c r="N1034"/>
      <c r="O1034"/>
      <c r="P1034"/>
      <c r="Q1034"/>
    </row>
    <row r="1035" spans="14:17">
      <c r="N1035"/>
      <c r="O1035"/>
      <c r="P1035"/>
      <c r="Q1035"/>
    </row>
    <row r="1036" spans="14:17">
      <c r="N1036"/>
      <c r="O1036"/>
      <c r="P1036"/>
      <c r="Q1036"/>
    </row>
    <row r="1037" spans="14:17">
      <c r="N1037"/>
      <c r="O1037"/>
      <c r="P1037"/>
      <c r="Q1037"/>
    </row>
    <row r="1038" spans="14:17">
      <c r="N1038"/>
      <c r="O1038"/>
      <c r="P1038"/>
      <c r="Q1038"/>
    </row>
    <row r="1039" spans="14:17">
      <c r="N1039"/>
      <c r="O1039"/>
      <c r="P1039"/>
      <c r="Q1039"/>
    </row>
    <row r="1040" spans="14:17">
      <c r="N1040"/>
      <c r="O1040"/>
      <c r="P1040"/>
      <c r="Q1040"/>
    </row>
    <row r="1041" spans="14:17">
      <c r="N1041"/>
      <c r="O1041"/>
      <c r="P1041"/>
      <c r="Q1041"/>
    </row>
    <row r="1042" spans="14:17">
      <c r="N1042"/>
      <c r="O1042"/>
      <c r="P1042"/>
      <c r="Q1042"/>
    </row>
    <row r="1043" spans="14:17">
      <c r="N1043"/>
      <c r="O1043"/>
      <c r="P1043"/>
      <c r="Q1043"/>
    </row>
    <row r="1044" spans="14:17">
      <c r="N1044"/>
      <c r="O1044"/>
      <c r="P1044"/>
      <c r="Q1044"/>
    </row>
    <row r="1045" spans="14:17">
      <c r="N1045"/>
      <c r="O1045"/>
      <c r="P1045"/>
      <c r="Q1045"/>
    </row>
    <row r="1046" spans="14:17">
      <c r="N1046"/>
      <c r="O1046"/>
      <c r="P1046"/>
      <c r="Q1046"/>
    </row>
    <row r="1047" spans="14:17">
      <c r="N1047"/>
      <c r="O1047"/>
      <c r="P1047"/>
      <c r="Q1047"/>
    </row>
    <row r="1048" spans="14:17">
      <c r="N1048"/>
      <c r="O1048"/>
      <c r="P1048"/>
      <c r="Q1048"/>
    </row>
    <row r="1049" spans="14:17">
      <c r="N1049"/>
      <c r="O1049"/>
      <c r="P1049"/>
      <c r="Q1049"/>
    </row>
    <row r="1050" spans="14:17">
      <c r="N1050"/>
      <c r="O1050"/>
      <c r="P1050"/>
      <c r="Q1050"/>
    </row>
    <row r="1051" spans="14:17">
      <c r="N1051"/>
      <c r="O1051"/>
      <c r="P1051"/>
      <c r="Q1051"/>
    </row>
    <row r="1052" spans="14:17">
      <c r="N1052"/>
      <c r="O1052"/>
      <c r="P1052"/>
      <c r="Q1052"/>
    </row>
    <row r="1053" spans="14:17">
      <c r="N1053"/>
      <c r="O1053"/>
      <c r="P1053"/>
      <c r="Q1053"/>
    </row>
    <row r="1054" spans="14:17">
      <c r="N1054"/>
      <c r="O1054"/>
      <c r="P1054"/>
      <c r="Q1054"/>
    </row>
    <row r="1055" spans="14:17">
      <c r="N1055"/>
      <c r="O1055"/>
      <c r="P1055"/>
      <c r="Q1055"/>
    </row>
    <row r="1056" spans="14:17">
      <c r="N1056"/>
      <c r="O1056"/>
      <c r="P1056"/>
      <c r="Q1056"/>
    </row>
    <row r="1057" spans="14:17">
      <c r="N1057"/>
      <c r="O1057"/>
      <c r="P1057"/>
      <c r="Q1057"/>
    </row>
    <row r="1058" spans="14:17">
      <c r="N1058"/>
      <c r="O1058"/>
      <c r="P1058"/>
      <c r="Q1058"/>
    </row>
    <row r="1059" spans="14:17">
      <c r="N1059"/>
      <c r="O1059"/>
      <c r="P1059"/>
      <c r="Q1059"/>
    </row>
    <row r="1060" spans="14:17">
      <c r="N1060"/>
      <c r="O1060"/>
      <c r="P1060"/>
      <c r="Q1060"/>
    </row>
    <row r="1061" spans="14:17">
      <c r="N1061"/>
      <c r="O1061"/>
      <c r="P1061"/>
      <c r="Q1061"/>
    </row>
    <row r="1062" spans="14:17">
      <c r="N1062"/>
      <c r="O1062"/>
      <c r="P1062"/>
      <c r="Q1062"/>
    </row>
    <row r="1063" spans="14:17">
      <c r="N1063"/>
      <c r="O1063"/>
      <c r="P1063"/>
      <c r="Q1063"/>
    </row>
    <row r="1064" spans="14:17">
      <c r="N1064"/>
      <c r="O1064"/>
      <c r="P1064"/>
      <c r="Q1064"/>
    </row>
    <row r="1065" spans="14:17">
      <c r="N1065"/>
      <c r="O1065"/>
      <c r="P1065"/>
      <c r="Q1065"/>
    </row>
    <row r="1066" spans="14:17">
      <c r="N1066"/>
      <c r="O1066"/>
      <c r="P1066"/>
      <c r="Q1066"/>
    </row>
    <row r="1067" spans="14:17">
      <c r="N1067"/>
      <c r="O1067"/>
      <c r="P1067"/>
      <c r="Q1067"/>
    </row>
    <row r="1068" spans="14:17">
      <c r="N1068"/>
      <c r="O1068"/>
      <c r="P1068"/>
      <c r="Q1068"/>
    </row>
    <row r="1069" spans="14:17">
      <c r="N1069"/>
      <c r="O1069"/>
      <c r="P1069"/>
      <c r="Q1069"/>
    </row>
    <row r="1070" spans="14:17">
      <c r="N1070"/>
      <c r="O1070"/>
      <c r="P1070"/>
      <c r="Q1070"/>
    </row>
    <row r="1071" spans="14:17">
      <c r="N1071"/>
      <c r="O1071"/>
      <c r="P1071"/>
      <c r="Q1071"/>
    </row>
    <row r="1072" spans="14:17">
      <c r="N1072"/>
      <c r="O1072"/>
      <c r="P1072"/>
      <c r="Q1072"/>
    </row>
    <row r="1073" spans="14:17">
      <c r="N1073"/>
      <c r="O1073"/>
      <c r="P1073"/>
      <c r="Q1073"/>
    </row>
    <row r="1074" spans="14:17">
      <c r="N1074"/>
      <c r="O1074"/>
      <c r="P1074"/>
      <c r="Q1074"/>
    </row>
    <row r="1075" spans="14:17">
      <c r="N1075"/>
      <c r="O1075"/>
      <c r="P1075"/>
      <c r="Q1075"/>
    </row>
    <row r="1076" spans="14:17">
      <c r="N1076"/>
      <c r="O1076"/>
      <c r="P1076"/>
      <c r="Q1076"/>
    </row>
    <row r="1077" spans="14:17">
      <c r="N1077"/>
      <c r="O1077"/>
      <c r="P1077"/>
      <c r="Q1077"/>
    </row>
    <row r="1078" spans="14:17">
      <c r="N1078"/>
      <c r="O1078"/>
      <c r="P1078"/>
      <c r="Q1078"/>
    </row>
    <row r="1079" spans="14:17">
      <c r="N1079"/>
      <c r="O1079"/>
      <c r="P1079"/>
      <c r="Q1079"/>
    </row>
    <row r="1080" spans="14:17">
      <c r="N1080"/>
      <c r="O1080"/>
      <c r="P1080"/>
      <c r="Q1080"/>
    </row>
    <row r="1081" spans="14:17">
      <c r="N1081"/>
      <c r="O1081"/>
      <c r="P1081"/>
      <c r="Q1081"/>
    </row>
    <row r="1082" spans="14:17">
      <c r="N1082"/>
      <c r="O1082"/>
      <c r="P1082"/>
      <c r="Q1082"/>
    </row>
    <row r="1083" spans="14:17">
      <c r="N1083"/>
      <c r="O1083"/>
      <c r="P1083"/>
      <c r="Q1083"/>
    </row>
    <row r="1084" spans="14:17">
      <c r="N1084"/>
      <c r="O1084"/>
      <c r="P1084"/>
      <c r="Q1084"/>
    </row>
    <row r="1085" spans="14:17">
      <c r="N1085"/>
      <c r="O1085"/>
      <c r="P1085"/>
      <c r="Q1085"/>
    </row>
    <row r="1086" spans="14:17">
      <c r="N1086"/>
      <c r="O1086"/>
      <c r="P1086"/>
      <c r="Q1086"/>
    </row>
    <row r="1087" spans="14:17">
      <c r="N1087"/>
      <c r="O1087"/>
      <c r="P1087"/>
      <c r="Q1087"/>
    </row>
    <row r="1088" spans="14:17">
      <c r="N1088"/>
      <c r="O1088"/>
      <c r="P1088"/>
      <c r="Q1088"/>
    </row>
    <row r="1089" spans="14:17">
      <c r="N1089"/>
      <c r="O1089"/>
      <c r="P1089"/>
      <c r="Q1089"/>
    </row>
    <row r="1090" spans="14:17">
      <c r="N1090"/>
      <c r="O1090"/>
      <c r="P1090"/>
      <c r="Q1090"/>
    </row>
    <row r="1091" spans="14:17">
      <c r="N1091"/>
      <c r="O1091"/>
      <c r="P1091"/>
      <c r="Q1091"/>
    </row>
    <row r="1092" spans="14:17">
      <c r="N1092"/>
      <c r="O1092"/>
      <c r="P1092"/>
      <c r="Q1092"/>
    </row>
    <row r="1093" spans="14:17">
      <c r="N1093"/>
      <c r="O1093"/>
      <c r="P1093"/>
      <c r="Q1093"/>
    </row>
    <row r="1094" spans="14:17">
      <c r="N1094"/>
      <c r="O1094"/>
      <c r="P1094"/>
      <c r="Q1094"/>
    </row>
    <row r="1095" spans="14:17">
      <c r="N1095"/>
      <c r="O1095"/>
      <c r="P1095"/>
      <c r="Q1095"/>
    </row>
    <row r="1096" spans="14:17">
      <c r="N1096"/>
      <c r="O1096"/>
      <c r="P1096"/>
      <c r="Q1096"/>
    </row>
    <row r="1097" spans="14:17">
      <c r="N1097"/>
      <c r="O1097"/>
      <c r="P1097"/>
      <c r="Q1097"/>
    </row>
    <row r="1098" spans="14:17">
      <c r="N1098"/>
      <c r="O1098"/>
      <c r="P1098"/>
      <c r="Q1098"/>
    </row>
    <row r="1099" spans="14:17">
      <c r="N1099"/>
      <c r="O1099"/>
      <c r="P1099"/>
      <c r="Q1099"/>
    </row>
    <row r="1100" spans="14:17">
      <c r="N1100"/>
      <c r="O1100"/>
      <c r="P1100"/>
      <c r="Q1100"/>
    </row>
    <row r="1101" spans="14:17">
      <c r="N1101"/>
      <c r="O1101"/>
      <c r="P1101"/>
      <c r="Q1101"/>
    </row>
    <row r="1102" spans="14:17">
      <c r="N1102"/>
      <c r="O1102"/>
      <c r="P1102"/>
      <c r="Q1102"/>
    </row>
    <row r="1103" spans="14:17">
      <c r="N1103"/>
      <c r="O1103"/>
      <c r="P1103"/>
      <c r="Q1103"/>
    </row>
    <row r="1104" spans="14:17">
      <c r="N1104"/>
      <c r="O1104"/>
      <c r="P1104"/>
      <c r="Q1104"/>
    </row>
    <row r="1105" spans="14:17">
      <c r="N1105"/>
      <c r="O1105"/>
      <c r="P1105"/>
      <c r="Q1105"/>
    </row>
    <row r="1106" spans="14:17">
      <c r="N1106"/>
      <c r="O1106"/>
      <c r="P1106"/>
      <c r="Q1106"/>
    </row>
    <row r="1107" spans="14:17">
      <c r="N1107"/>
      <c r="O1107"/>
      <c r="P1107"/>
      <c r="Q1107"/>
    </row>
    <row r="1108" spans="14:17">
      <c r="N1108"/>
      <c r="O1108"/>
      <c r="P1108"/>
      <c r="Q1108"/>
    </row>
    <row r="1109" spans="14:17">
      <c r="N1109"/>
      <c r="O1109"/>
      <c r="P1109"/>
      <c r="Q1109"/>
    </row>
    <row r="1110" spans="14:17">
      <c r="N1110"/>
      <c r="O1110"/>
      <c r="P1110"/>
      <c r="Q1110"/>
    </row>
    <row r="1111" spans="14:17">
      <c r="N1111"/>
      <c r="O1111"/>
      <c r="P1111"/>
      <c r="Q1111"/>
    </row>
    <row r="1112" spans="14:17">
      <c r="N1112"/>
      <c r="O1112"/>
      <c r="P1112"/>
      <c r="Q1112"/>
    </row>
    <row r="1113" spans="14:17">
      <c r="N1113"/>
      <c r="O1113"/>
      <c r="P1113"/>
      <c r="Q1113"/>
    </row>
    <row r="1114" spans="14:17">
      <c r="N1114"/>
      <c r="O1114"/>
      <c r="P1114"/>
      <c r="Q1114"/>
    </row>
    <row r="1115" spans="14:17">
      <c r="N1115"/>
      <c r="O1115"/>
      <c r="P1115"/>
      <c r="Q1115"/>
    </row>
    <row r="1116" spans="14:17">
      <c r="N1116"/>
      <c r="O1116"/>
      <c r="P1116"/>
      <c r="Q1116"/>
    </row>
    <row r="1117" spans="14:17">
      <c r="N1117"/>
      <c r="O1117"/>
      <c r="P1117"/>
      <c r="Q1117"/>
    </row>
    <row r="1118" spans="14:17">
      <c r="N1118"/>
      <c r="O1118"/>
      <c r="P1118"/>
      <c r="Q1118"/>
    </row>
    <row r="1119" spans="14:17">
      <c r="N1119"/>
      <c r="O1119"/>
      <c r="P1119"/>
      <c r="Q1119"/>
    </row>
    <row r="1120" spans="14:17">
      <c r="N1120"/>
      <c r="O1120"/>
      <c r="P1120"/>
      <c r="Q1120"/>
    </row>
    <row r="1121" spans="14:17">
      <c r="N1121"/>
      <c r="O1121"/>
      <c r="P1121"/>
      <c r="Q1121"/>
    </row>
    <row r="1122" spans="14:17">
      <c r="N1122"/>
      <c r="O1122"/>
      <c r="P1122"/>
      <c r="Q1122"/>
    </row>
    <row r="1123" spans="14:17">
      <c r="N1123"/>
      <c r="O1123"/>
      <c r="P1123"/>
      <c r="Q1123"/>
    </row>
    <row r="1124" spans="14:17">
      <c r="N1124"/>
      <c r="O1124"/>
      <c r="P1124"/>
      <c r="Q1124"/>
    </row>
    <row r="1125" spans="14:17">
      <c r="N1125"/>
      <c r="O1125"/>
      <c r="P1125"/>
      <c r="Q1125"/>
    </row>
    <row r="1126" spans="14:17">
      <c r="N1126"/>
      <c r="O1126"/>
      <c r="P1126"/>
      <c r="Q1126"/>
    </row>
    <row r="1127" spans="14:17">
      <c r="N1127"/>
      <c r="O1127"/>
      <c r="P1127"/>
      <c r="Q1127"/>
    </row>
    <row r="1128" spans="14:17">
      <c r="N1128"/>
      <c r="O1128"/>
      <c r="P1128"/>
      <c r="Q1128"/>
    </row>
    <row r="1129" spans="14:17">
      <c r="N1129"/>
      <c r="O1129"/>
      <c r="P1129"/>
      <c r="Q1129"/>
    </row>
    <row r="1130" spans="14:17">
      <c r="N1130"/>
      <c r="O1130"/>
      <c r="P1130"/>
      <c r="Q1130"/>
    </row>
    <row r="1131" spans="14:17">
      <c r="N1131"/>
      <c r="O1131"/>
      <c r="P1131"/>
      <c r="Q1131"/>
    </row>
    <row r="1132" spans="14:17">
      <c r="N1132"/>
      <c r="O1132"/>
      <c r="P1132"/>
      <c r="Q1132"/>
    </row>
    <row r="1133" spans="14:17">
      <c r="N1133"/>
      <c r="O1133"/>
      <c r="P1133"/>
      <c r="Q1133"/>
    </row>
    <row r="1134" spans="14:17">
      <c r="N1134"/>
      <c r="O1134"/>
      <c r="P1134"/>
      <c r="Q1134"/>
    </row>
    <row r="1135" spans="14:17">
      <c r="N1135"/>
      <c r="O1135"/>
      <c r="P1135"/>
      <c r="Q1135"/>
    </row>
    <row r="1136" spans="14:17">
      <c r="N1136"/>
      <c r="O1136"/>
      <c r="P1136"/>
      <c r="Q1136"/>
    </row>
    <row r="1137" spans="14:17">
      <c r="N1137"/>
      <c r="O1137"/>
      <c r="P1137"/>
      <c r="Q1137"/>
    </row>
    <row r="1138" spans="14:17">
      <c r="N1138"/>
      <c r="O1138"/>
      <c r="P1138"/>
      <c r="Q1138"/>
    </row>
    <row r="1139" spans="14:17">
      <c r="N1139"/>
      <c r="O1139"/>
      <c r="P1139"/>
      <c r="Q1139"/>
    </row>
    <row r="1140" spans="14:17">
      <c r="N1140"/>
      <c r="O1140"/>
      <c r="P1140"/>
      <c r="Q1140"/>
    </row>
    <row r="1141" spans="14:17">
      <c r="N1141"/>
      <c r="O1141"/>
      <c r="P1141"/>
      <c r="Q1141"/>
    </row>
    <row r="1142" spans="14:17">
      <c r="N1142"/>
      <c r="O1142"/>
      <c r="P1142"/>
      <c r="Q1142"/>
    </row>
    <row r="1143" spans="14:17">
      <c r="N1143"/>
      <c r="O1143"/>
      <c r="P1143"/>
      <c r="Q1143"/>
    </row>
    <row r="1144" spans="14:17">
      <c r="N1144"/>
      <c r="O1144"/>
      <c r="P1144"/>
      <c r="Q1144"/>
    </row>
    <row r="1145" spans="14:17">
      <c r="N1145"/>
      <c r="O1145"/>
      <c r="P1145"/>
      <c r="Q1145"/>
    </row>
    <row r="1146" spans="14:17">
      <c r="N1146"/>
      <c r="O1146"/>
      <c r="P1146"/>
      <c r="Q1146"/>
    </row>
    <row r="1147" spans="14:17">
      <c r="N1147"/>
      <c r="O1147"/>
      <c r="P1147"/>
      <c r="Q1147"/>
    </row>
    <row r="1148" spans="14:17">
      <c r="N1148"/>
      <c r="O1148"/>
      <c r="P1148"/>
      <c r="Q1148"/>
    </row>
    <row r="1149" spans="14:17">
      <c r="N1149"/>
      <c r="O1149"/>
      <c r="P1149"/>
      <c r="Q1149"/>
    </row>
    <row r="1150" spans="14:17">
      <c r="N1150"/>
      <c r="O1150"/>
      <c r="P1150"/>
      <c r="Q1150"/>
    </row>
    <row r="1151" spans="14:17">
      <c r="N1151"/>
      <c r="O1151"/>
      <c r="P1151"/>
      <c r="Q1151"/>
    </row>
    <row r="1152" spans="14:17">
      <c r="N1152"/>
      <c r="O1152"/>
      <c r="P1152"/>
      <c r="Q1152"/>
    </row>
    <row r="1153" spans="14:17">
      <c r="N1153"/>
      <c r="O1153"/>
      <c r="P1153"/>
      <c r="Q1153"/>
    </row>
    <row r="1154" spans="14:17">
      <c r="N1154"/>
      <c r="O1154"/>
      <c r="P1154"/>
      <c r="Q1154"/>
    </row>
    <row r="1155" spans="14:17">
      <c r="N1155"/>
      <c r="O1155"/>
      <c r="P1155"/>
      <c r="Q1155"/>
    </row>
    <row r="1156" spans="14:17">
      <c r="N1156"/>
      <c r="O1156"/>
      <c r="P1156"/>
      <c r="Q1156"/>
    </row>
    <row r="1157" spans="14:17">
      <c r="N1157"/>
      <c r="O1157"/>
      <c r="P1157"/>
      <c r="Q1157"/>
    </row>
    <row r="1158" spans="14:17">
      <c r="N1158"/>
      <c r="O1158"/>
      <c r="P1158"/>
      <c r="Q1158"/>
    </row>
    <row r="1159" spans="14:17">
      <c r="N1159"/>
      <c r="O1159"/>
      <c r="P1159"/>
      <c r="Q1159"/>
    </row>
    <row r="1160" spans="14:17">
      <c r="N1160"/>
      <c r="O1160"/>
      <c r="P1160"/>
      <c r="Q1160"/>
    </row>
    <row r="1161" spans="14:17">
      <c r="N1161"/>
      <c r="O1161"/>
      <c r="P1161"/>
      <c r="Q1161"/>
    </row>
    <row r="1162" spans="14:17">
      <c r="N1162"/>
      <c r="O1162"/>
      <c r="P1162"/>
      <c r="Q1162"/>
    </row>
    <row r="1163" spans="14:17">
      <c r="N1163"/>
      <c r="O1163"/>
      <c r="P1163"/>
      <c r="Q1163"/>
    </row>
    <row r="1164" spans="14:17">
      <c r="N1164"/>
      <c r="O1164"/>
      <c r="P1164"/>
      <c r="Q1164"/>
    </row>
    <row r="1165" spans="14:17">
      <c r="N1165"/>
      <c r="O1165"/>
      <c r="P1165"/>
      <c r="Q1165"/>
    </row>
    <row r="1166" spans="14:17">
      <c r="N1166"/>
      <c r="O1166"/>
      <c r="P1166"/>
      <c r="Q1166"/>
    </row>
    <row r="1167" spans="14:17">
      <c r="N1167"/>
      <c r="O1167"/>
      <c r="P1167"/>
      <c r="Q1167"/>
    </row>
    <row r="1168" spans="14:17">
      <c r="N1168"/>
      <c r="O1168"/>
      <c r="P1168"/>
      <c r="Q1168"/>
    </row>
    <row r="1169" spans="14:17">
      <c r="N1169"/>
      <c r="O1169"/>
      <c r="P1169"/>
      <c r="Q1169"/>
    </row>
    <row r="1170" spans="14:17">
      <c r="N1170"/>
      <c r="O1170"/>
      <c r="P1170"/>
      <c r="Q1170"/>
    </row>
    <row r="1171" spans="14:17">
      <c r="N1171"/>
      <c r="O1171"/>
      <c r="P1171"/>
      <c r="Q1171"/>
    </row>
    <row r="1172" spans="14:17">
      <c r="N1172"/>
      <c r="O1172"/>
      <c r="P1172"/>
      <c r="Q1172"/>
    </row>
    <row r="1173" spans="14:17">
      <c r="N1173"/>
      <c r="O1173"/>
      <c r="P1173"/>
      <c r="Q1173"/>
    </row>
    <row r="1174" spans="14:17">
      <c r="N1174"/>
      <c r="O1174"/>
      <c r="P1174"/>
      <c r="Q1174"/>
    </row>
    <row r="1175" spans="14:17">
      <c r="N1175"/>
      <c r="O1175"/>
      <c r="P1175"/>
      <c r="Q1175"/>
    </row>
    <row r="1176" spans="14:17">
      <c r="N1176"/>
      <c r="O1176"/>
      <c r="P1176"/>
      <c r="Q1176"/>
    </row>
    <row r="1177" spans="14:17">
      <c r="N1177"/>
      <c r="O1177"/>
      <c r="P1177"/>
      <c r="Q1177"/>
    </row>
    <row r="1178" spans="14:17">
      <c r="N1178"/>
      <c r="O1178"/>
      <c r="P1178"/>
      <c r="Q1178"/>
    </row>
    <row r="1179" spans="14:17">
      <c r="N1179"/>
      <c r="O1179"/>
      <c r="P1179"/>
      <c r="Q1179"/>
    </row>
    <row r="1180" spans="14:17">
      <c r="N1180"/>
      <c r="O1180"/>
      <c r="P1180"/>
      <c r="Q1180"/>
    </row>
    <row r="1181" spans="14:17">
      <c r="N1181"/>
      <c r="O1181"/>
      <c r="P1181"/>
      <c r="Q1181"/>
    </row>
    <row r="1182" spans="14:17">
      <c r="N1182"/>
      <c r="O1182"/>
      <c r="P1182"/>
      <c r="Q1182"/>
    </row>
    <row r="1183" spans="14:17">
      <c r="N1183"/>
      <c r="O1183"/>
      <c r="P1183"/>
      <c r="Q1183"/>
    </row>
    <row r="1184" spans="14:17">
      <c r="N1184"/>
      <c r="O1184"/>
      <c r="P1184"/>
      <c r="Q1184"/>
    </row>
    <row r="1185" spans="14:17">
      <c r="N1185"/>
      <c r="O1185"/>
      <c r="P1185"/>
      <c r="Q1185"/>
    </row>
    <row r="1186" spans="14:17">
      <c r="N1186"/>
      <c r="O1186"/>
      <c r="P1186"/>
      <c r="Q1186"/>
    </row>
    <row r="1187" spans="14:17">
      <c r="N1187"/>
      <c r="O1187"/>
      <c r="P1187"/>
      <c r="Q1187"/>
    </row>
    <row r="1188" spans="14:17">
      <c r="N1188"/>
      <c r="O1188"/>
      <c r="P1188"/>
      <c r="Q1188"/>
    </row>
    <row r="1189" spans="14:17">
      <c r="N1189"/>
      <c r="O1189"/>
      <c r="P1189"/>
      <c r="Q1189"/>
    </row>
    <row r="1190" spans="14:17">
      <c r="N1190"/>
      <c r="O1190"/>
      <c r="P1190"/>
      <c r="Q1190"/>
    </row>
    <row r="1191" spans="14:17">
      <c r="N1191"/>
      <c r="O1191"/>
      <c r="P1191"/>
      <c r="Q1191"/>
    </row>
    <row r="1192" spans="14:17">
      <c r="N1192"/>
      <c r="O1192"/>
      <c r="P1192"/>
      <c r="Q1192"/>
    </row>
    <row r="1193" spans="14:17">
      <c r="N1193"/>
      <c r="O1193"/>
      <c r="P1193"/>
      <c r="Q1193"/>
    </row>
    <row r="1194" spans="14:17">
      <c r="N1194"/>
      <c r="O1194"/>
      <c r="P1194"/>
      <c r="Q1194"/>
    </row>
    <row r="1195" spans="14:17">
      <c r="N1195"/>
      <c r="O1195"/>
      <c r="P1195"/>
      <c r="Q1195"/>
    </row>
    <row r="1196" spans="14:17">
      <c r="N1196"/>
      <c r="O1196"/>
      <c r="P1196"/>
      <c r="Q1196"/>
    </row>
    <row r="1197" spans="14:17">
      <c r="N1197"/>
      <c r="O1197"/>
      <c r="P1197"/>
      <c r="Q1197"/>
    </row>
    <row r="1198" spans="14:17">
      <c r="N1198"/>
      <c r="O1198"/>
      <c r="P1198"/>
      <c r="Q1198"/>
    </row>
    <row r="1199" spans="14:17">
      <c r="N1199"/>
      <c r="O1199"/>
      <c r="P1199"/>
      <c r="Q1199"/>
    </row>
    <row r="1200" spans="14:17">
      <c r="N1200"/>
      <c r="O1200"/>
      <c r="P1200"/>
      <c r="Q1200"/>
    </row>
    <row r="1201" spans="14:17">
      <c r="N1201"/>
      <c r="O1201"/>
      <c r="P1201"/>
      <c r="Q1201"/>
    </row>
    <row r="1202" spans="14:17">
      <c r="N1202"/>
      <c r="O1202"/>
      <c r="P1202"/>
      <c r="Q1202"/>
    </row>
    <row r="1203" spans="14:17">
      <c r="N1203"/>
      <c r="O1203"/>
      <c r="P1203"/>
      <c r="Q1203"/>
    </row>
    <row r="1204" spans="14:17">
      <c r="N1204"/>
      <c r="O1204"/>
      <c r="P1204"/>
      <c r="Q1204"/>
    </row>
    <row r="1205" spans="14:17">
      <c r="N1205"/>
      <c r="O1205"/>
      <c r="P1205"/>
      <c r="Q1205"/>
    </row>
    <row r="1206" spans="14:17">
      <c r="N1206"/>
      <c r="O1206"/>
      <c r="P1206"/>
      <c r="Q1206"/>
    </row>
    <row r="1207" spans="14:17">
      <c r="N1207"/>
      <c r="O1207"/>
      <c r="P1207"/>
      <c r="Q1207"/>
    </row>
    <row r="1208" spans="14:17">
      <c r="N1208"/>
      <c r="O1208"/>
      <c r="P1208"/>
      <c r="Q1208"/>
    </row>
    <row r="1209" spans="14:17">
      <c r="N1209"/>
      <c r="O1209"/>
      <c r="P1209"/>
      <c r="Q1209"/>
    </row>
    <row r="1210" spans="14:17">
      <c r="N1210"/>
      <c r="O1210"/>
      <c r="P1210"/>
      <c r="Q1210"/>
    </row>
    <row r="1211" spans="14:17">
      <c r="N1211"/>
      <c r="O1211"/>
      <c r="P1211"/>
      <c r="Q1211"/>
    </row>
    <row r="1212" spans="14:17">
      <c r="N1212"/>
      <c r="O1212"/>
      <c r="P1212"/>
      <c r="Q1212"/>
    </row>
    <row r="1213" spans="14:17">
      <c r="N1213"/>
      <c r="O1213"/>
      <c r="P1213"/>
      <c r="Q1213"/>
    </row>
    <row r="1214" spans="14:17">
      <c r="N1214"/>
      <c r="O1214"/>
      <c r="P1214"/>
      <c r="Q1214"/>
    </row>
    <row r="1215" spans="14:17">
      <c r="N1215"/>
      <c r="O1215"/>
      <c r="P1215"/>
      <c r="Q1215"/>
    </row>
    <row r="1216" spans="14:17">
      <c r="N1216"/>
      <c r="O1216"/>
      <c r="P1216"/>
      <c r="Q1216"/>
    </row>
    <row r="1217" spans="14:17">
      <c r="N1217"/>
      <c r="O1217"/>
      <c r="P1217"/>
      <c r="Q1217"/>
    </row>
    <row r="1218" spans="14:17">
      <c r="N1218"/>
      <c r="O1218"/>
      <c r="P1218"/>
      <c r="Q1218"/>
    </row>
    <row r="1219" spans="14:17">
      <c r="N1219"/>
      <c r="O1219"/>
      <c r="P1219"/>
      <c r="Q1219"/>
    </row>
    <row r="1220" spans="14:17">
      <c r="N1220"/>
      <c r="O1220"/>
      <c r="P1220"/>
      <c r="Q1220"/>
    </row>
    <row r="1221" spans="14:17">
      <c r="N1221"/>
      <c r="O1221"/>
      <c r="P1221"/>
      <c r="Q1221"/>
    </row>
    <row r="1222" spans="14:17">
      <c r="N1222"/>
      <c r="O1222"/>
      <c r="P1222"/>
      <c r="Q1222"/>
    </row>
    <row r="1223" spans="14:17">
      <c r="N1223"/>
      <c r="O1223"/>
      <c r="P1223"/>
      <c r="Q1223"/>
    </row>
    <row r="1224" spans="14:17">
      <c r="N1224"/>
      <c r="O1224"/>
      <c r="P1224"/>
      <c r="Q1224"/>
    </row>
    <row r="1225" spans="14:17">
      <c r="N1225"/>
      <c r="O1225"/>
      <c r="P1225"/>
      <c r="Q1225"/>
    </row>
    <row r="1226" spans="14:17">
      <c r="N1226"/>
      <c r="O1226"/>
      <c r="P1226"/>
      <c r="Q1226"/>
    </row>
    <row r="1227" spans="14:17">
      <c r="N1227"/>
      <c r="O1227"/>
      <c r="P1227"/>
      <c r="Q1227"/>
    </row>
    <row r="1228" spans="14:17">
      <c r="N1228"/>
      <c r="O1228"/>
      <c r="P1228"/>
      <c r="Q1228"/>
    </row>
    <row r="1229" spans="14:17">
      <c r="N1229"/>
      <c r="O1229"/>
      <c r="P1229"/>
      <c r="Q1229"/>
    </row>
    <row r="1230" spans="14:17">
      <c r="N1230"/>
      <c r="O1230"/>
      <c r="P1230"/>
      <c r="Q1230"/>
    </row>
    <row r="1231" spans="14:17">
      <c r="N1231"/>
      <c r="O1231"/>
      <c r="P1231"/>
      <c r="Q1231"/>
    </row>
    <row r="1232" spans="14:17">
      <c r="N1232"/>
      <c r="O1232"/>
      <c r="P1232"/>
      <c r="Q1232"/>
    </row>
    <row r="1233" spans="14:17">
      <c r="N1233"/>
      <c r="O1233"/>
      <c r="P1233"/>
      <c r="Q1233"/>
    </row>
    <row r="1234" spans="14:17">
      <c r="N1234"/>
      <c r="O1234"/>
      <c r="P1234"/>
      <c r="Q1234"/>
    </row>
    <row r="1235" spans="14:17">
      <c r="N1235"/>
      <c r="O1235"/>
      <c r="P1235"/>
      <c r="Q1235"/>
    </row>
    <row r="1236" spans="14:17">
      <c r="N1236"/>
      <c r="O1236"/>
      <c r="P1236"/>
      <c r="Q1236"/>
    </row>
    <row r="1237" spans="14:17">
      <c r="N1237"/>
      <c r="O1237"/>
      <c r="P1237"/>
      <c r="Q1237"/>
    </row>
    <row r="1238" spans="14:17">
      <c r="N1238"/>
      <c r="O1238"/>
      <c r="P1238"/>
      <c r="Q1238"/>
    </row>
    <row r="1239" spans="14:17">
      <c r="N1239"/>
      <c r="O1239"/>
      <c r="P1239"/>
      <c r="Q1239"/>
    </row>
    <row r="1240" spans="14:17">
      <c r="N1240"/>
      <c r="O1240"/>
      <c r="P1240"/>
      <c r="Q1240"/>
    </row>
    <row r="1241" spans="14:17">
      <c r="N1241"/>
      <c r="O1241"/>
      <c r="P1241"/>
      <c r="Q1241"/>
    </row>
    <row r="1242" spans="14:17">
      <c r="N1242"/>
      <c r="O1242"/>
      <c r="P1242"/>
      <c r="Q1242"/>
    </row>
    <row r="1243" spans="14:17">
      <c r="N1243"/>
      <c r="O1243"/>
      <c r="P1243"/>
      <c r="Q1243"/>
    </row>
    <row r="1244" spans="14:17">
      <c r="N1244"/>
      <c r="O1244"/>
      <c r="P1244"/>
      <c r="Q1244"/>
    </row>
    <row r="1245" spans="14:17">
      <c r="N1245"/>
      <c r="O1245"/>
      <c r="P1245"/>
      <c r="Q1245"/>
    </row>
    <row r="1246" spans="14:17">
      <c r="N1246"/>
      <c r="O1246"/>
      <c r="P1246"/>
      <c r="Q1246"/>
    </row>
    <row r="1247" spans="14:17">
      <c r="N1247"/>
      <c r="O1247"/>
      <c r="P1247"/>
      <c r="Q1247"/>
    </row>
    <row r="1248" spans="14:17">
      <c r="N1248"/>
      <c r="O1248"/>
      <c r="P1248"/>
      <c r="Q1248"/>
    </row>
    <row r="1249" spans="14:17">
      <c r="N1249"/>
      <c r="O1249"/>
      <c r="P1249"/>
      <c r="Q1249"/>
    </row>
    <row r="1250" spans="14:17">
      <c r="N1250"/>
      <c r="O1250"/>
      <c r="P1250"/>
      <c r="Q1250"/>
    </row>
    <row r="1251" spans="14:17">
      <c r="N1251"/>
      <c r="O1251"/>
      <c r="P1251"/>
      <c r="Q1251"/>
    </row>
    <row r="1252" spans="14:17">
      <c r="N1252"/>
      <c r="O1252"/>
      <c r="P1252"/>
      <c r="Q1252"/>
    </row>
    <row r="1253" spans="14:17">
      <c r="N1253"/>
      <c r="O1253"/>
      <c r="P1253"/>
      <c r="Q1253"/>
    </row>
    <row r="1254" spans="14:17">
      <c r="N1254"/>
      <c r="O1254"/>
      <c r="P1254"/>
      <c r="Q1254"/>
    </row>
    <row r="1255" spans="14:17">
      <c r="N1255"/>
      <c r="O1255"/>
      <c r="P1255"/>
      <c r="Q1255"/>
    </row>
    <row r="1256" spans="14:17">
      <c r="N1256"/>
      <c r="O1256"/>
      <c r="P1256"/>
      <c r="Q1256"/>
    </row>
    <row r="1257" spans="14:17">
      <c r="N1257"/>
      <c r="O1257"/>
      <c r="P1257"/>
      <c r="Q1257"/>
    </row>
    <row r="1258" spans="14:17">
      <c r="N1258"/>
      <c r="O1258"/>
      <c r="P1258"/>
      <c r="Q1258"/>
    </row>
    <row r="1259" spans="14:17">
      <c r="N1259"/>
      <c r="O1259"/>
      <c r="P1259"/>
      <c r="Q1259"/>
    </row>
    <row r="1260" spans="14:17">
      <c r="N1260"/>
      <c r="O1260"/>
      <c r="P1260"/>
      <c r="Q1260"/>
    </row>
    <row r="1261" spans="14:17">
      <c r="N1261"/>
      <c r="O1261"/>
      <c r="P1261"/>
      <c r="Q1261"/>
    </row>
    <row r="1262" spans="14:17">
      <c r="N1262"/>
      <c r="O1262"/>
      <c r="P1262"/>
      <c r="Q1262"/>
    </row>
    <row r="1263" spans="14:17">
      <c r="N1263"/>
      <c r="O1263"/>
      <c r="P1263"/>
      <c r="Q1263"/>
    </row>
    <row r="1264" spans="14:17">
      <c r="N1264"/>
      <c r="O1264"/>
      <c r="P1264"/>
      <c r="Q1264"/>
    </row>
    <row r="1265" spans="14:17">
      <c r="N1265"/>
      <c r="O1265"/>
      <c r="P1265"/>
      <c r="Q1265"/>
    </row>
    <row r="1266" spans="14:17">
      <c r="N1266"/>
      <c r="O1266"/>
      <c r="P1266"/>
      <c r="Q1266"/>
    </row>
    <row r="1267" spans="14:17">
      <c r="N1267"/>
      <c r="O1267"/>
      <c r="P1267"/>
      <c r="Q1267"/>
    </row>
    <row r="1268" spans="14:17">
      <c r="N1268"/>
      <c r="O1268"/>
      <c r="P1268"/>
      <c r="Q1268"/>
    </row>
    <row r="1269" spans="14:17">
      <c r="N1269"/>
      <c r="O1269"/>
      <c r="P1269"/>
      <c r="Q1269"/>
    </row>
    <row r="1270" spans="14:17">
      <c r="N1270"/>
      <c r="O1270"/>
      <c r="P1270"/>
      <c r="Q1270"/>
    </row>
    <row r="1271" spans="14:17">
      <c r="N1271"/>
      <c r="O1271"/>
      <c r="P1271"/>
      <c r="Q1271"/>
    </row>
    <row r="1272" spans="14:17">
      <c r="N1272"/>
      <c r="O1272"/>
      <c r="P1272"/>
      <c r="Q1272"/>
    </row>
    <row r="1273" spans="14:17">
      <c r="N1273"/>
      <c r="O1273"/>
      <c r="P1273"/>
      <c r="Q1273"/>
    </row>
    <row r="1274" spans="14:17">
      <c r="N1274"/>
      <c r="O1274"/>
      <c r="P1274"/>
      <c r="Q1274"/>
    </row>
    <row r="1275" spans="14:17">
      <c r="N1275"/>
      <c r="O1275"/>
      <c r="P1275"/>
      <c r="Q1275"/>
    </row>
    <row r="1276" spans="14:17">
      <c r="N1276"/>
      <c r="O1276"/>
      <c r="P1276"/>
      <c r="Q1276"/>
    </row>
    <row r="1277" spans="14:17">
      <c r="N1277"/>
      <c r="O1277"/>
      <c r="P1277"/>
      <c r="Q1277"/>
    </row>
    <row r="1278" spans="14:17">
      <c r="N1278"/>
      <c r="O1278"/>
      <c r="P1278"/>
      <c r="Q1278"/>
    </row>
    <row r="1279" spans="14:17">
      <c r="N1279"/>
      <c r="O1279"/>
      <c r="P1279"/>
      <c r="Q1279"/>
    </row>
    <row r="1280" spans="14:17">
      <c r="N1280"/>
      <c r="O1280"/>
      <c r="P1280"/>
      <c r="Q1280"/>
    </row>
    <row r="1281" spans="14:17">
      <c r="N1281"/>
      <c r="O1281"/>
      <c r="P1281"/>
      <c r="Q1281"/>
    </row>
    <row r="1282" spans="14:17">
      <c r="N1282"/>
      <c r="O1282"/>
      <c r="P1282"/>
      <c r="Q1282"/>
    </row>
    <row r="1283" spans="14:17">
      <c r="N1283"/>
      <c r="O1283"/>
      <c r="P1283"/>
      <c r="Q1283"/>
    </row>
    <row r="1284" spans="14:17">
      <c r="N1284"/>
      <c r="O1284"/>
      <c r="P1284"/>
      <c r="Q1284"/>
    </row>
    <row r="1285" spans="14:17">
      <c r="N1285"/>
      <c r="O1285"/>
      <c r="P1285"/>
      <c r="Q1285"/>
    </row>
    <row r="1286" spans="14:17">
      <c r="N1286"/>
      <c r="O1286"/>
      <c r="P1286"/>
      <c r="Q1286"/>
    </row>
    <row r="1287" spans="14:17">
      <c r="N1287"/>
      <c r="O1287"/>
      <c r="P1287"/>
      <c r="Q1287"/>
    </row>
    <row r="1288" spans="14:17">
      <c r="N1288"/>
      <c r="O1288"/>
      <c r="P1288"/>
      <c r="Q1288"/>
    </row>
    <row r="1289" spans="14:17">
      <c r="N1289"/>
      <c r="O1289"/>
      <c r="P1289"/>
      <c r="Q1289"/>
    </row>
    <row r="1290" spans="14:17">
      <c r="N1290"/>
      <c r="O1290"/>
      <c r="P1290"/>
      <c r="Q1290"/>
    </row>
    <row r="1291" spans="14:17">
      <c r="N1291"/>
      <c r="O1291"/>
      <c r="P1291"/>
      <c r="Q1291"/>
    </row>
    <row r="1292" spans="14:17">
      <c r="N1292"/>
      <c r="O1292"/>
      <c r="P1292"/>
      <c r="Q1292"/>
    </row>
    <row r="1293" spans="14:17">
      <c r="N1293"/>
      <c r="O1293"/>
      <c r="P1293"/>
      <c r="Q1293"/>
    </row>
    <row r="1294" spans="14:17">
      <c r="N1294"/>
      <c r="O1294"/>
      <c r="P1294"/>
      <c r="Q1294"/>
    </row>
    <row r="1295" spans="14:17">
      <c r="N1295"/>
      <c r="O1295"/>
      <c r="P1295"/>
      <c r="Q1295"/>
    </row>
    <row r="1296" spans="14:17">
      <c r="N1296"/>
      <c r="O1296"/>
      <c r="P1296"/>
      <c r="Q1296"/>
    </row>
    <row r="1297" spans="14:17">
      <c r="N1297"/>
      <c r="O1297"/>
      <c r="P1297"/>
      <c r="Q1297"/>
    </row>
    <row r="1298" spans="14:17">
      <c r="N1298"/>
      <c r="O1298"/>
      <c r="P1298"/>
      <c r="Q1298"/>
    </row>
    <row r="1299" spans="14:17">
      <c r="N1299"/>
      <c r="O1299"/>
      <c r="P1299"/>
      <c r="Q1299"/>
    </row>
    <row r="1300" spans="14:17">
      <c r="N1300"/>
      <c r="O1300"/>
      <c r="P1300"/>
      <c r="Q1300"/>
    </row>
    <row r="1301" spans="14:17">
      <c r="N1301"/>
      <c r="O1301"/>
      <c r="P1301"/>
      <c r="Q1301"/>
    </row>
    <row r="1302" spans="14:17">
      <c r="N1302"/>
      <c r="O1302"/>
      <c r="P1302"/>
      <c r="Q1302"/>
    </row>
    <row r="1303" spans="14:17">
      <c r="N1303"/>
      <c r="O1303"/>
      <c r="P1303"/>
      <c r="Q1303"/>
    </row>
    <row r="1304" spans="14:17">
      <c r="N1304"/>
      <c r="O1304"/>
      <c r="P1304"/>
      <c r="Q1304"/>
    </row>
    <row r="1305" spans="14:17">
      <c r="N1305"/>
      <c r="O1305"/>
      <c r="P1305"/>
      <c r="Q1305"/>
    </row>
    <row r="1306" spans="14:17">
      <c r="N1306"/>
      <c r="O1306"/>
      <c r="P1306"/>
      <c r="Q1306"/>
    </row>
    <row r="1307" spans="14:17">
      <c r="N1307"/>
      <c r="O1307"/>
      <c r="P1307"/>
      <c r="Q1307"/>
    </row>
    <row r="1308" spans="14:17">
      <c r="N1308"/>
      <c r="O1308"/>
      <c r="P1308"/>
      <c r="Q1308"/>
    </row>
    <row r="1309" spans="14:17">
      <c r="N1309"/>
      <c r="O1309"/>
      <c r="P1309"/>
      <c r="Q1309"/>
    </row>
    <row r="1310" spans="14:17">
      <c r="N1310"/>
      <c r="O1310"/>
      <c r="P1310"/>
      <c r="Q1310"/>
    </row>
    <row r="1311" spans="14:17">
      <c r="N1311"/>
      <c r="O1311"/>
      <c r="P1311"/>
      <c r="Q1311"/>
    </row>
    <row r="1312" spans="14:17">
      <c r="N1312"/>
      <c r="O1312"/>
      <c r="P1312"/>
      <c r="Q1312"/>
    </row>
    <row r="1313" spans="14:17">
      <c r="N1313"/>
      <c r="O1313"/>
      <c r="P1313"/>
      <c r="Q1313"/>
    </row>
    <row r="1314" spans="14:17">
      <c r="N1314"/>
      <c r="O1314"/>
      <c r="P1314"/>
      <c r="Q1314"/>
    </row>
    <row r="1315" spans="14:17">
      <c r="N1315"/>
      <c r="O1315"/>
      <c r="P1315"/>
      <c r="Q1315"/>
    </row>
    <row r="1316" spans="14:17">
      <c r="N1316"/>
      <c r="O1316"/>
      <c r="P1316"/>
      <c r="Q1316"/>
    </row>
    <row r="1317" spans="14:17">
      <c r="N1317"/>
      <c r="O1317"/>
      <c r="P1317"/>
      <c r="Q1317"/>
    </row>
    <row r="1318" spans="14:17">
      <c r="N1318"/>
      <c r="O1318"/>
      <c r="P1318"/>
      <c r="Q1318"/>
    </row>
  </sheetData>
  <mergeCells count="6">
    <mergeCell ref="K43:M43"/>
    <mergeCell ref="U2:X2"/>
    <mergeCell ref="Z2:AD2"/>
    <mergeCell ref="AF2:AI2"/>
    <mergeCell ref="P2:S2"/>
    <mergeCell ref="A2:N2"/>
  </mergeCells>
  <pageMargins left="0.7" right="0.7" top="0.75" bottom="0.75" header="0.3" footer="0.3"/>
  <pageSetup orientation="portrait" r:id="rId13"/>
  <tableParts count="1">
    <tablePart r:id="rId1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sheetPr>
    <pageSetUpPr fitToPage="1"/>
  </sheetPr>
  <dimension ref="B1:X52"/>
  <sheetViews>
    <sheetView showGridLines="0" tabSelected="1" view="pageBreakPreview" topLeftCell="A25" zoomScale="130" zoomScaleNormal="85" zoomScaleSheetLayoutView="130" workbookViewId="0">
      <selection activeCell="A37" sqref="A37"/>
    </sheetView>
  </sheetViews>
  <sheetFormatPr defaultRowHeight="14.25"/>
  <cols>
    <col min="6" max="6" width="18.75" bestFit="1" customWidth="1"/>
    <col min="7" max="7" width="11.25" bestFit="1" customWidth="1"/>
    <col min="9" max="9" width="13.375" customWidth="1"/>
    <col min="10" max="10" width="12" bestFit="1" customWidth="1"/>
    <col min="11" max="11" width="11.5" bestFit="1" customWidth="1"/>
    <col min="12" max="12" width="9" customWidth="1"/>
    <col min="14" max="14" width="12" bestFit="1" customWidth="1"/>
    <col min="15" max="15" width="13.75" bestFit="1" customWidth="1"/>
    <col min="16" max="16" width="9.375" bestFit="1" customWidth="1"/>
    <col min="17" max="17" width="15.875" bestFit="1" customWidth="1"/>
    <col min="18" max="18" width="12.125" customWidth="1"/>
    <col min="20" max="20" width="10.375" bestFit="1" customWidth="1"/>
    <col min="21" max="21" width="15" customWidth="1"/>
    <col min="25" max="25" width="11.125" bestFit="1" customWidth="1"/>
  </cols>
  <sheetData>
    <row r="1" spans="2:24">
      <c r="B1" s="13"/>
      <c r="C1" s="14"/>
      <c r="D1" s="14"/>
      <c r="E1" s="14"/>
      <c r="F1" s="14"/>
      <c r="G1" s="14"/>
      <c r="H1" s="14"/>
      <c r="I1" s="14"/>
      <c r="J1" s="14"/>
      <c r="K1" s="14"/>
      <c r="L1" s="14"/>
      <c r="M1" s="14"/>
      <c r="N1" s="14"/>
      <c r="O1" s="14"/>
      <c r="P1" s="14"/>
      <c r="Q1" s="14"/>
      <c r="R1" s="14"/>
      <c r="S1" s="14"/>
      <c r="T1" s="14"/>
      <c r="U1" s="14"/>
      <c r="V1" s="14"/>
      <c r="W1" s="14"/>
      <c r="X1" s="15"/>
    </row>
    <row r="2" spans="2:24">
      <c r="B2" s="16"/>
      <c r="C2" s="17"/>
      <c r="D2" s="17"/>
      <c r="E2" s="17"/>
      <c r="F2" s="17"/>
      <c r="G2" s="17"/>
      <c r="H2" s="17"/>
      <c r="I2" s="17"/>
      <c r="J2" s="17"/>
      <c r="K2" s="17"/>
      <c r="L2" s="17"/>
      <c r="M2" s="17"/>
      <c r="N2" s="17"/>
      <c r="O2" s="17"/>
      <c r="P2" s="17"/>
      <c r="Q2" s="17"/>
      <c r="R2" s="17"/>
      <c r="S2" s="17"/>
      <c r="T2" s="17"/>
      <c r="U2" s="17"/>
      <c r="V2" s="17"/>
      <c r="W2" s="17"/>
      <c r="X2" s="18"/>
    </row>
    <row r="3" spans="2:24">
      <c r="B3" s="16"/>
      <c r="C3" s="17"/>
      <c r="D3" s="17"/>
      <c r="E3" s="17"/>
      <c r="F3" s="17"/>
      <c r="G3" s="17"/>
      <c r="H3" s="17"/>
      <c r="I3" s="17"/>
      <c r="J3" s="17"/>
      <c r="K3" s="17"/>
      <c r="L3" s="17"/>
      <c r="M3" s="17"/>
      <c r="N3" s="17"/>
      <c r="O3" s="17"/>
      <c r="P3" s="17"/>
      <c r="Q3" s="17"/>
      <c r="R3" s="17"/>
      <c r="S3" s="17"/>
      <c r="T3" s="17"/>
      <c r="U3" s="17"/>
      <c r="V3" s="17"/>
      <c r="W3" s="17"/>
      <c r="X3" s="18"/>
    </row>
    <row r="4" spans="2:24">
      <c r="B4" s="16"/>
      <c r="C4" s="17"/>
      <c r="D4" s="17"/>
      <c r="E4" s="17"/>
      <c r="F4" s="17"/>
      <c r="G4" s="17"/>
      <c r="H4" s="17"/>
      <c r="I4" s="17"/>
      <c r="J4" s="17"/>
      <c r="K4" s="17"/>
      <c r="L4" s="17"/>
      <c r="M4" s="17"/>
      <c r="N4" s="17"/>
      <c r="O4" s="17"/>
      <c r="P4" s="17"/>
      <c r="Q4" s="17"/>
      <c r="R4" s="17"/>
      <c r="S4" s="17"/>
      <c r="T4" s="17"/>
      <c r="U4" s="17"/>
      <c r="V4" s="17"/>
      <c r="W4" s="17"/>
      <c r="X4" s="18"/>
    </row>
    <row r="5" spans="2:24">
      <c r="B5" s="16"/>
      <c r="C5" s="17"/>
      <c r="D5" s="17"/>
      <c r="E5" s="17"/>
      <c r="F5" s="17"/>
      <c r="G5" s="17"/>
      <c r="H5" s="17"/>
      <c r="I5" s="17"/>
      <c r="J5" s="17"/>
      <c r="K5" s="17"/>
      <c r="L5" s="17"/>
      <c r="M5" s="17"/>
      <c r="N5" s="17"/>
      <c r="O5" s="17"/>
      <c r="P5" s="17"/>
      <c r="Q5" s="17"/>
      <c r="R5" s="17"/>
      <c r="S5" s="17"/>
      <c r="T5" s="17"/>
      <c r="U5" s="17"/>
      <c r="V5" s="17"/>
      <c r="W5" s="17"/>
      <c r="X5" s="18"/>
    </row>
    <row r="6" spans="2:24">
      <c r="B6" s="19"/>
      <c r="C6" s="10"/>
      <c r="D6" s="10"/>
      <c r="E6" s="10"/>
      <c r="F6" s="10"/>
      <c r="G6" s="10"/>
      <c r="H6" s="10"/>
      <c r="I6" s="10"/>
      <c r="J6" s="10"/>
      <c r="K6" s="10"/>
      <c r="L6" s="10"/>
      <c r="M6" s="10"/>
      <c r="N6" s="10"/>
      <c r="O6" s="10"/>
      <c r="P6" s="10"/>
      <c r="Q6" s="10"/>
      <c r="R6" s="10"/>
      <c r="S6" s="10"/>
      <c r="T6" s="10"/>
      <c r="U6" s="10"/>
      <c r="V6" s="10"/>
      <c r="W6" s="10"/>
      <c r="X6" s="20"/>
    </row>
    <row r="7" spans="2:24" ht="32.25" thickBot="1">
      <c r="B7" s="19"/>
      <c r="C7" s="10"/>
      <c r="D7" s="10"/>
      <c r="E7" s="10"/>
      <c r="F7" s="45" t="s">
        <v>1261</v>
      </c>
      <c r="G7" s="45">
        <f>GETPIVOTDATA("Total Sales",'Pivot Tables'!$H$20)</f>
        <v>287377.92000000022</v>
      </c>
      <c r="H7" s="46"/>
      <c r="I7" s="47" t="s">
        <v>1252</v>
      </c>
      <c r="J7" s="48">
        <f>GETPIVOTDATA("Profit",'Pivot Tables'!$S$4)</f>
        <v>85069.85000000002</v>
      </c>
      <c r="L7" s="44" t="s">
        <v>1283</v>
      </c>
      <c r="M7" s="48">
        <f>GETPIVOTDATA("Units_Sold",'Pivot Tables'!$H$17)</f>
        <v>3550</v>
      </c>
      <c r="O7" s="51" t="s">
        <v>1276</v>
      </c>
      <c r="P7" s="49">
        <f>J7/G7</f>
        <v>0.29602082860088885</v>
      </c>
      <c r="R7" s="52" t="s">
        <v>1281</v>
      </c>
      <c r="S7" s="49">
        <f>(GETPIVOTDATA("Total Sales",'Pivot Tables'!$U$4,"Years",2025)-GETPIVOTDATA("Total Sales",'Pivot Tables'!$U$4,"Years",2024))/GETPIVOTDATA("Total Sales",'Pivot Tables'!$U$4,"Years",2024)</f>
        <v>-0.25603094069296883</v>
      </c>
      <c r="T7" s="46"/>
      <c r="U7" s="52" t="s">
        <v>1282</v>
      </c>
      <c r="V7" s="50">
        <f>(GETPIVOTDATA("Profit",'Pivot Tables'!$U$49,"Years",2025)-GETPIVOTDATA("Profit",'Pivot Tables'!$U$49,"Years",2024))/GETPIVOTDATA("Profit",'Pivot Tables'!$U$49,"Years",2024)</f>
        <v>-0.24689912036572642</v>
      </c>
      <c r="X7" s="20"/>
    </row>
    <row r="8" spans="2:24" ht="15" thickTop="1">
      <c r="B8" s="19"/>
      <c r="C8" s="10"/>
      <c r="D8" s="10"/>
      <c r="E8" s="10"/>
      <c r="F8" s="10"/>
      <c r="G8" s="10"/>
      <c r="H8" s="10"/>
      <c r="I8" s="10"/>
      <c r="J8" s="10"/>
      <c r="K8" s="10"/>
      <c r="L8" s="10"/>
      <c r="M8" s="10"/>
      <c r="N8" s="10"/>
      <c r="O8" s="10"/>
      <c r="P8" s="10"/>
      <c r="Q8" s="10"/>
      <c r="R8" s="10"/>
      <c r="S8" s="10"/>
      <c r="T8" s="10"/>
      <c r="U8" s="10"/>
      <c r="V8" s="10"/>
      <c r="W8" s="10"/>
      <c r="X8" s="20"/>
    </row>
    <row r="9" spans="2:24">
      <c r="B9" s="19"/>
      <c r="C9" s="10"/>
      <c r="D9" s="10"/>
      <c r="E9" s="10"/>
      <c r="F9" s="10"/>
      <c r="G9" s="10"/>
      <c r="H9" s="10"/>
      <c r="I9" s="10"/>
      <c r="J9" s="10"/>
      <c r="K9" s="10"/>
      <c r="L9" s="10"/>
      <c r="M9" s="10"/>
      <c r="N9" s="10"/>
      <c r="O9" s="10"/>
      <c r="P9" s="10"/>
      <c r="Q9" s="10"/>
      <c r="R9" s="10"/>
      <c r="S9" s="10"/>
      <c r="T9" s="10"/>
      <c r="U9" s="10"/>
      <c r="V9" s="10"/>
      <c r="W9" s="10"/>
      <c r="X9" s="20"/>
    </row>
    <row r="10" spans="2:24">
      <c r="B10" s="19"/>
      <c r="C10" s="10"/>
      <c r="D10" s="10"/>
      <c r="E10" s="10"/>
      <c r="F10" s="10"/>
      <c r="G10" s="10"/>
      <c r="H10" s="10"/>
      <c r="I10" s="10"/>
      <c r="J10" s="10"/>
      <c r="K10" s="10"/>
      <c r="L10" s="10"/>
      <c r="M10" s="10"/>
      <c r="N10" s="10"/>
      <c r="O10" s="10"/>
      <c r="P10" s="10"/>
      <c r="Q10" s="10"/>
      <c r="R10" s="10"/>
      <c r="S10" s="10"/>
      <c r="T10" s="10"/>
      <c r="U10" s="10"/>
      <c r="V10" s="10"/>
      <c r="W10" s="10"/>
      <c r="X10" s="20"/>
    </row>
    <row r="11" spans="2:24">
      <c r="B11" s="19"/>
      <c r="C11" s="10"/>
      <c r="D11" s="10"/>
      <c r="E11" s="10"/>
      <c r="F11" s="10"/>
      <c r="G11" s="10"/>
      <c r="H11" s="10"/>
      <c r="I11" s="10"/>
      <c r="J11" s="10"/>
      <c r="K11" s="10"/>
      <c r="L11" s="10"/>
      <c r="M11" s="10"/>
      <c r="N11" s="10"/>
      <c r="O11" s="10"/>
      <c r="P11" s="10"/>
      <c r="Q11" s="10"/>
      <c r="R11" s="10"/>
      <c r="S11" s="10"/>
      <c r="T11" s="10"/>
      <c r="U11" s="10"/>
      <c r="V11" s="10"/>
      <c r="W11" s="10"/>
      <c r="X11" s="20"/>
    </row>
    <row r="12" spans="2:24">
      <c r="B12" s="19"/>
      <c r="C12" s="10"/>
      <c r="D12" s="10"/>
      <c r="E12" s="10"/>
      <c r="F12" s="10"/>
      <c r="G12" s="10"/>
      <c r="H12" s="10"/>
      <c r="I12" s="10"/>
      <c r="J12" s="10"/>
      <c r="K12" s="10"/>
      <c r="L12" s="10"/>
      <c r="M12" s="10"/>
      <c r="N12" s="10"/>
      <c r="O12" s="10"/>
      <c r="P12" s="10"/>
      <c r="Q12" s="10"/>
      <c r="R12" s="10"/>
      <c r="S12" s="10"/>
      <c r="T12" s="10"/>
      <c r="U12" s="10"/>
      <c r="V12" s="10"/>
      <c r="W12" s="10"/>
      <c r="X12" s="20"/>
    </row>
    <row r="13" spans="2:24">
      <c r="B13" s="19"/>
      <c r="C13" s="10"/>
      <c r="D13" s="10"/>
      <c r="E13" s="10"/>
      <c r="F13" s="10"/>
      <c r="G13" s="10"/>
      <c r="H13" s="10"/>
      <c r="I13" s="10"/>
      <c r="J13" s="10"/>
      <c r="K13" s="10"/>
      <c r="L13" s="10"/>
      <c r="M13" s="10"/>
      <c r="N13" s="10"/>
      <c r="O13" s="10"/>
      <c r="P13" s="10"/>
      <c r="Q13" s="10"/>
      <c r="R13" s="10"/>
      <c r="S13" s="10"/>
      <c r="T13" s="10"/>
      <c r="U13" s="10"/>
      <c r="V13" s="10"/>
      <c r="W13" s="10"/>
      <c r="X13" s="20"/>
    </row>
    <row r="14" spans="2:24">
      <c r="B14" s="19"/>
      <c r="C14" s="10"/>
      <c r="D14" s="10"/>
      <c r="E14" s="10"/>
      <c r="F14" s="10"/>
      <c r="G14" s="10"/>
      <c r="H14" s="10"/>
      <c r="I14" s="10"/>
      <c r="J14" s="10"/>
      <c r="K14" s="10"/>
      <c r="L14" s="10"/>
      <c r="M14" s="10"/>
      <c r="N14" s="10"/>
      <c r="O14" s="10"/>
      <c r="P14" s="10"/>
      <c r="Q14" s="10"/>
      <c r="R14" s="10"/>
      <c r="S14" s="10"/>
      <c r="T14" s="10"/>
      <c r="U14" s="10"/>
      <c r="V14" s="10"/>
      <c r="W14" s="10"/>
      <c r="X14" s="20"/>
    </row>
    <row r="15" spans="2:24">
      <c r="B15" s="19"/>
      <c r="C15" s="10"/>
      <c r="D15" s="10"/>
      <c r="E15" s="10"/>
      <c r="F15" s="10"/>
      <c r="G15" s="10"/>
      <c r="H15" s="10"/>
      <c r="I15" s="10"/>
      <c r="J15" s="10"/>
      <c r="K15" s="10"/>
      <c r="L15" s="10"/>
      <c r="M15" s="10"/>
      <c r="N15" s="10"/>
      <c r="O15" s="10"/>
      <c r="P15" s="10"/>
      <c r="Q15" s="10"/>
      <c r="R15" s="10"/>
      <c r="S15" s="10"/>
      <c r="T15" s="10"/>
      <c r="U15" s="10"/>
      <c r="V15" s="10"/>
      <c r="W15" s="10"/>
      <c r="X15" s="20"/>
    </row>
    <row r="16" spans="2:24">
      <c r="B16" s="19"/>
      <c r="C16" s="10"/>
      <c r="D16" s="10"/>
      <c r="E16" s="10"/>
      <c r="F16" s="10"/>
      <c r="G16" s="10"/>
      <c r="H16" s="10"/>
      <c r="I16" s="10"/>
      <c r="J16" s="10"/>
      <c r="K16" s="10"/>
      <c r="L16" s="10"/>
      <c r="M16" s="10"/>
      <c r="N16" s="10"/>
      <c r="O16" s="10"/>
      <c r="P16" s="10"/>
      <c r="Q16" s="10"/>
      <c r="R16" s="10"/>
      <c r="S16" s="10"/>
      <c r="T16" s="10"/>
      <c r="U16" s="10"/>
      <c r="V16" s="10"/>
      <c r="W16" s="10"/>
      <c r="X16" s="20"/>
    </row>
    <row r="17" spans="2:24">
      <c r="B17" s="19"/>
      <c r="C17" s="10"/>
      <c r="D17" s="10"/>
      <c r="E17" s="10"/>
      <c r="F17" s="10"/>
      <c r="G17" s="10"/>
      <c r="H17" s="10"/>
      <c r="I17" s="10"/>
      <c r="J17" s="10"/>
      <c r="K17" s="10"/>
      <c r="L17" s="10"/>
      <c r="M17" s="10"/>
      <c r="N17" s="10"/>
      <c r="O17" s="10"/>
      <c r="P17" s="10"/>
      <c r="Q17" s="10"/>
      <c r="R17" s="10"/>
      <c r="S17" s="10"/>
      <c r="T17" s="10"/>
      <c r="U17" s="10"/>
      <c r="V17" s="10"/>
      <c r="W17" s="10"/>
      <c r="X17" s="20"/>
    </row>
    <row r="18" spans="2:24">
      <c r="B18" s="19"/>
      <c r="C18" s="10"/>
      <c r="D18" s="10"/>
      <c r="E18" s="10"/>
      <c r="F18" s="10"/>
      <c r="G18" s="10"/>
      <c r="H18" s="10"/>
      <c r="I18" s="10"/>
      <c r="J18" s="10"/>
      <c r="K18" s="10"/>
      <c r="L18" s="10"/>
      <c r="M18" s="10"/>
      <c r="N18" s="10"/>
      <c r="O18" s="10"/>
      <c r="P18" s="10"/>
      <c r="Q18" s="10"/>
      <c r="R18" s="10"/>
      <c r="S18" s="10"/>
      <c r="T18" s="10"/>
      <c r="U18" s="10"/>
      <c r="V18" s="10"/>
      <c r="W18" s="10"/>
      <c r="X18" s="20"/>
    </row>
    <row r="19" spans="2:24">
      <c r="B19" s="19"/>
      <c r="C19" s="10"/>
      <c r="D19" s="10"/>
      <c r="E19" s="10"/>
      <c r="F19" s="10"/>
      <c r="G19" s="10"/>
      <c r="H19" s="10"/>
      <c r="I19" s="10"/>
      <c r="J19" s="10"/>
      <c r="K19" s="10"/>
      <c r="L19" s="10"/>
      <c r="M19" s="10"/>
      <c r="N19" s="10"/>
      <c r="O19" s="10"/>
      <c r="P19" s="10"/>
      <c r="Q19" s="10"/>
      <c r="R19" s="10"/>
      <c r="S19" s="10"/>
      <c r="T19" s="10"/>
      <c r="U19" s="21"/>
      <c r="V19" s="10"/>
      <c r="W19" s="10"/>
      <c r="X19" s="20"/>
    </row>
    <row r="20" spans="2:24">
      <c r="B20" s="19"/>
      <c r="C20" s="10"/>
      <c r="D20" s="10"/>
      <c r="E20" s="10"/>
      <c r="F20" s="10"/>
      <c r="G20" s="10"/>
      <c r="H20" s="10"/>
      <c r="I20" s="10"/>
      <c r="J20" s="10"/>
      <c r="K20" s="10"/>
      <c r="L20" s="10"/>
      <c r="M20" s="10"/>
      <c r="N20" s="10"/>
      <c r="O20" s="10"/>
      <c r="P20" s="10"/>
      <c r="Q20" s="10"/>
      <c r="R20" s="10"/>
      <c r="S20" s="10"/>
      <c r="T20" s="10"/>
      <c r="U20" s="10"/>
      <c r="V20" s="10"/>
      <c r="W20" s="10"/>
      <c r="X20" s="20"/>
    </row>
    <row r="21" spans="2:24">
      <c r="B21" s="19"/>
      <c r="C21" s="10"/>
      <c r="D21" s="10"/>
      <c r="E21" s="10"/>
      <c r="F21" s="10"/>
      <c r="G21" s="10"/>
      <c r="H21" s="10"/>
      <c r="I21" s="10"/>
      <c r="J21" s="10"/>
      <c r="K21" s="10"/>
      <c r="L21" s="10"/>
      <c r="M21" s="10"/>
      <c r="N21" s="10"/>
      <c r="O21" s="10"/>
      <c r="P21" s="10"/>
      <c r="Q21" s="10"/>
      <c r="R21" s="10"/>
      <c r="S21" s="10"/>
      <c r="T21" s="10"/>
      <c r="U21" s="10"/>
      <c r="V21" s="10"/>
      <c r="W21" s="10"/>
      <c r="X21" s="20"/>
    </row>
    <row r="22" spans="2:24">
      <c r="B22" s="19"/>
      <c r="C22" s="10"/>
      <c r="D22" s="10"/>
      <c r="E22" s="10"/>
      <c r="F22" s="10"/>
      <c r="G22" s="10"/>
      <c r="H22" s="10"/>
      <c r="I22" s="10"/>
      <c r="J22" s="10"/>
      <c r="K22" s="10"/>
      <c r="L22" s="10"/>
      <c r="M22" s="10"/>
      <c r="N22" s="10"/>
      <c r="O22" s="10"/>
      <c r="P22" s="10"/>
      <c r="Q22" s="10"/>
      <c r="R22" s="10"/>
      <c r="S22" s="10"/>
      <c r="T22" s="10"/>
      <c r="U22" s="10"/>
      <c r="V22" s="10"/>
      <c r="W22" s="10"/>
      <c r="X22" s="20"/>
    </row>
    <row r="23" spans="2:24">
      <c r="B23" s="19"/>
      <c r="C23" s="10"/>
      <c r="D23" s="10"/>
      <c r="E23" s="10"/>
      <c r="F23" s="10"/>
      <c r="G23" s="10"/>
      <c r="H23" s="10"/>
      <c r="I23" s="10"/>
      <c r="J23" s="10"/>
      <c r="K23" s="10"/>
      <c r="L23" s="10"/>
      <c r="M23" s="10"/>
      <c r="N23" s="10"/>
      <c r="O23" s="10"/>
      <c r="P23" s="10"/>
      <c r="Q23" s="10"/>
      <c r="R23" s="10"/>
      <c r="S23" s="10"/>
      <c r="T23" s="10"/>
      <c r="U23" s="10"/>
      <c r="V23" s="10"/>
      <c r="W23" s="10"/>
      <c r="X23" s="20"/>
    </row>
    <row r="24" spans="2:24">
      <c r="B24" s="19"/>
      <c r="C24" s="10"/>
      <c r="D24" s="10"/>
      <c r="E24" s="10"/>
      <c r="F24" s="10"/>
      <c r="G24" s="10"/>
      <c r="H24" s="10"/>
      <c r="I24" s="10"/>
      <c r="J24" s="10"/>
      <c r="K24" s="10"/>
      <c r="L24" s="10"/>
      <c r="M24" s="10"/>
      <c r="N24" s="10"/>
      <c r="O24" s="10"/>
      <c r="P24" s="10"/>
      <c r="Q24" s="10"/>
      <c r="R24" s="10"/>
      <c r="S24" s="10"/>
      <c r="T24" s="10"/>
      <c r="U24" s="10"/>
      <c r="V24" s="10"/>
      <c r="W24" s="10"/>
      <c r="X24" s="20"/>
    </row>
    <row r="25" spans="2:24">
      <c r="B25" s="19"/>
      <c r="C25" s="10"/>
      <c r="D25" s="10"/>
      <c r="E25" s="10"/>
      <c r="F25" s="10"/>
      <c r="G25" s="10"/>
      <c r="H25" s="10"/>
      <c r="I25" s="10"/>
      <c r="J25" s="10"/>
      <c r="K25" s="10"/>
      <c r="L25" s="10"/>
      <c r="M25" s="10"/>
      <c r="N25" s="10"/>
      <c r="O25" s="10"/>
      <c r="P25" s="10"/>
      <c r="Q25" s="10"/>
      <c r="R25" s="10"/>
      <c r="S25" s="10"/>
      <c r="T25" s="10"/>
      <c r="U25" s="10"/>
      <c r="V25" s="10"/>
      <c r="W25" s="10"/>
      <c r="X25" s="20"/>
    </row>
    <row r="26" spans="2:24">
      <c r="B26" s="19"/>
      <c r="C26" s="10"/>
      <c r="D26" s="10"/>
      <c r="E26" s="10"/>
      <c r="F26" s="10"/>
      <c r="G26" s="10"/>
      <c r="H26" s="10"/>
      <c r="I26" s="10"/>
      <c r="J26" s="10"/>
      <c r="K26" s="10"/>
      <c r="L26" s="10"/>
      <c r="M26" s="10"/>
      <c r="N26" s="10"/>
      <c r="O26" s="10"/>
      <c r="P26" s="10"/>
      <c r="Q26" s="10"/>
      <c r="R26" s="10"/>
      <c r="S26" s="10"/>
      <c r="T26" s="10"/>
      <c r="U26" s="10"/>
      <c r="V26" s="10"/>
      <c r="W26" s="10"/>
      <c r="X26" s="20"/>
    </row>
    <row r="27" spans="2:24">
      <c r="B27" s="19"/>
      <c r="C27" s="10"/>
      <c r="D27" s="10"/>
      <c r="E27" s="10"/>
      <c r="F27" s="10"/>
      <c r="G27" s="10"/>
      <c r="H27" s="10"/>
      <c r="I27" s="10"/>
      <c r="J27" s="10"/>
      <c r="K27" s="10"/>
      <c r="L27" s="10"/>
      <c r="M27" s="10"/>
      <c r="N27" s="10"/>
      <c r="O27" s="10"/>
      <c r="P27" s="10"/>
      <c r="Q27" s="10"/>
      <c r="R27" s="10"/>
      <c r="S27" s="10"/>
      <c r="T27" s="10"/>
      <c r="U27" s="10"/>
      <c r="V27" s="10"/>
      <c r="W27" s="10"/>
      <c r="X27" s="20"/>
    </row>
    <row r="28" spans="2:24">
      <c r="B28" s="19"/>
      <c r="C28" s="10"/>
      <c r="D28" s="10"/>
      <c r="E28" s="10"/>
      <c r="F28" s="10"/>
      <c r="G28" s="10"/>
      <c r="H28" s="10"/>
      <c r="I28" s="10"/>
      <c r="J28" s="10"/>
      <c r="K28" s="10"/>
      <c r="L28" s="10"/>
      <c r="M28" s="10"/>
      <c r="N28" s="10"/>
      <c r="O28" s="10"/>
      <c r="P28" s="10"/>
      <c r="Q28" s="10"/>
      <c r="R28" s="10"/>
      <c r="S28" s="10"/>
      <c r="T28" s="10"/>
      <c r="U28" s="10"/>
      <c r="V28" s="10"/>
      <c r="W28" s="10"/>
      <c r="X28" s="20"/>
    </row>
    <row r="29" spans="2:24">
      <c r="B29" s="19"/>
      <c r="C29" s="10"/>
      <c r="D29" s="10"/>
      <c r="E29" s="10"/>
      <c r="F29" s="10"/>
      <c r="G29" s="10"/>
      <c r="H29" s="10"/>
      <c r="I29" s="10"/>
      <c r="J29" s="10"/>
      <c r="K29" s="10"/>
      <c r="L29" s="10"/>
      <c r="M29" s="10"/>
      <c r="N29" s="10"/>
      <c r="O29" s="10"/>
      <c r="P29" s="10"/>
      <c r="Q29" s="10"/>
      <c r="R29" s="10"/>
      <c r="S29" s="10"/>
      <c r="T29" s="10"/>
      <c r="U29" s="10"/>
      <c r="V29" s="10"/>
      <c r="W29" s="10"/>
      <c r="X29" s="20"/>
    </row>
    <row r="30" spans="2:24">
      <c r="B30" s="19"/>
      <c r="C30" s="10"/>
      <c r="D30" s="10"/>
      <c r="E30" s="10"/>
      <c r="F30" s="10"/>
      <c r="G30" s="10"/>
      <c r="H30" s="10"/>
      <c r="I30" s="10"/>
      <c r="J30" s="10"/>
      <c r="K30" s="10"/>
      <c r="L30" s="10"/>
      <c r="M30" s="10"/>
      <c r="N30" s="10"/>
      <c r="O30" s="10"/>
      <c r="P30" s="10"/>
      <c r="Q30" s="10"/>
      <c r="R30" s="10"/>
      <c r="S30" s="10"/>
      <c r="T30" s="10"/>
      <c r="U30" s="10"/>
      <c r="V30" s="10"/>
      <c r="W30" s="10"/>
      <c r="X30" s="20"/>
    </row>
    <row r="31" spans="2:24">
      <c r="B31" s="19"/>
      <c r="C31" s="10"/>
      <c r="D31" s="10"/>
      <c r="E31" s="10"/>
      <c r="F31" s="10"/>
      <c r="G31" s="10"/>
      <c r="H31" s="10"/>
      <c r="I31" s="10"/>
      <c r="J31" s="10"/>
      <c r="K31" s="10"/>
      <c r="L31" s="10"/>
      <c r="M31" s="10"/>
      <c r="N31" s="10"/>
      <c r="O31" s="10"/>
      <c r="P31" s="10"/>
      <c r="Q31" s="10"/>
      <c r="R31" s="10"/>
      <c r="S31" s="10"/>
      <c r="T31" s="10"/>
      <c r="U31" s="10"/>
      <c r="V31" s="10"/>
      <c r="W31" s="10"/>
      <c r="X31" s="20"/>
    </row>
    <row r="32" spans="2:24">
      <c r="B32" s="19"/>
      <c r="C32" s="10"/>
      <c r="D32" s="10"/>
      <c r="E32" s="10"/>
      <c r="F32" s="10"/>
      <c r="G32" s="10"/>
      <c r="H32" s="10"/>
      <c r="I32" s="10"/>
      <c r="J32" s="10"/>
      <c r="K32" s="10"/>
      <c r="L32" s="10"/>
      <c r="M32" s="10"/>
      <c r="N32" s="10"/>
      <c r="O32" s="10"/>
      <c r="P32" s="10"/>
      <c r="Q32" s="10"/>
      <c r="R32" s="10"/>
      <c r="S32" s="10"/>
      <c r="T32" s="10"/>
      <c r="U32" s="10"/>
      <c r="V32" s="10"/>
      <c r="W32" s="10"/>
      <c r="X32" s="20"/>
    </row>
    <row r="33" spans="2:24">
      <c r="B33" s="19"/>
      <c r="C33" s="10"/>
      <c r="D33" s="10"/>
      <c r="E33" s="10"/>
      <c r="F33" s="10"/>
      <c r="G33" s="10"/>
      <c r="H33" s="10"/>
      <c r="I33" s="10"/>
      <c r="J33" s="10"/>
      <c r="K33" s="10"/>
      <c r="L33" s="10"/>
      <c r="M33" s="10"/>
      <c r="N33" s="10"/>
      <c r="O33" s="10"/>
      <c r="P33" s="10"/>
      <c r="Q33" s="10"/>
      <c r="R33" s="10"/>
      <c r="S33" s="10"/>
      <c r="T33" s="10"/>
      <c r="U33" s="10"/>
      <c r="V33" s="10"/>
      <c r="W33" s="10"/>
      <c r="X33" s="20"/>
    </row>
    <row r="34" spans="2:24">
      <c r="B34" s="19"/>
      <c r="C34" s="10"/>
      <c r="D34" s="10"/>
      <c r="E34" s="10"/>
      <c r="F34" s="10"/>
      <c r="G34" s="10"/>
      <c r="H34" s="10"/>
      <c r="I34" s="10"/>
      <c r="J34" s="10"/>
      <c r="K34" s="10"/>
      <c r="L34" s="10"/>
      <c r="M34" s="10"/>
      <c r="N34" s="10"/>
      <c r="O34" s="10"/>
      <c r="P34" s="10"/>
      <c r="Q34" s="10"/>
      <c r="R34" s="10"/>
      <c r="S34" s="10"/>
      <c r="T34" s="10"/>
      <c r="U34" s="10"/>
      <c r="V34" s="10"/>
      <c r="W34" s="10"/>
      <c r="X34" s="20"/>
    </row>
    <row r="35" spans="2:24">
      <c r="B35" s="19"/>
      <c r="C35" s="10"/>
      <c r="D35" s="10"/>
      <c r="E35" s="10"/>
      <c r="F35" s="10"/>
      <c r="G35" s="10"/>
      <c r="H35" s="10"/>
      <c r="I35" s="10"/>
      <c r="J35" s="10"/>
      <c r="K35" s="10"/>
      <c r="L35" s="10"/>
      <c r="M35" s="10"/>
      <c r="N35" s="10"/>
      <c r="O35" s="10"/>
      <c r="P35" s="10"/>
      <c r="Q35" s="10"/>
      <c r="R35" s="10"/>
      <c r="S35" s="10"/>
      <c r="T35" s="10"/>
      <c r="U35" s="10"/>
      <c r="V35" s="10"/>
      <c r="W35" s="10"/>
      <c r="X35" s="20"/>
    </row>
    <row r="36" spans="2:24">
      <c r="B36" s="19"/>
      <c r="C36" s="10"/>
      <c r="D36" s="10"/>
      <c r="E36" s="10"/>
      <c r="F36" s="10"/>
      <c r="G36" s="10"/>
      <c r="H36" s="10"/>
      <c r="I36" s="10"/>
      <c r="J36" s="10"/>
      <c r="K36" s="10"/>
      <c r="L36" s="10"/>
      <c r="M36" s="10"/>
      <c r="N36" s="10"/>
      <c r="O36" s="10"/>
      <c r="P36" s="10"/>
      <c r="Q36" s="10"/>
      <c r="R36" s="10"/>
      <c r="S36" s="10"/>
      <c r="T36" s="10"/>
      <c r="U36" s="10"/>
      <c r="V36" s="10"/>
      <c r="W36" s="10"/>
      <c r="X36" s="20"/>
    </row>
    <row r="37" spans="2:24">
      <c r="B37" s="19"/>
      <c r="C37" s="10"/>
      <c r="D37" s="10"/>
      <c r="E37" s="10"/>
      <c r="F37" s="10"/>
      <c r="G37" s="10"/>
      <c r="H37" s="10"/>
      <c r="I37" s="10"/>
      <c r="J37" s="10"/>
      <c r="K37" s="10"/>
      <c r="L37" s="10"/>
      <c r="M37" s="10"/>
      <c r="N37" s="10"/>
      <c r="O37" s="10"/>
      <c r="P37" s="10"/>
      <c r="Q37" s="10"/>
      <c r="R37" s="10"/>
      <c r="S37" s="10"/>
      <c r="T37" s="10"/>
      <c r="U37" s="10"/>
      <c r="V37" s="10"/>
      <c r="W37" s="10"/>
      <c r="X37" s="20"/>
    </row>
    <row r="38" spans="2:24">
      <c r="B38" s="19"/>
      <c r="C38" s="10"/>
      <c r="D38" s="10"/>
      <c r="E38" s="10"/>
      <c r="F38" s="10"/>
      <c r="G38" s="10"/>
      <c r="H38" s="10"/>
      <c r="I38" s="10"/>
      <c r="J38" s="10"/>
      <c r="K38" s="10"/>
      <c r="L38" s="10"/>
      <c r="M38" s="10"/>
      <c r="N38" s="10"/>
      <c r="O38" s="10"/>
      <c r="P38" s="10"/>
      <c r="Q38" s="10"/>
      <c r="R38" s="10"/>
      <c r="S38" s="10"/>
      <c r="T38" s="10"/>
      <c r="U38" s="10"/>
      <c r="V38" s="10"/>
      <c r="W38" s="10"/>
      <c r="X38" s="20"/>
    </row>
    <row r="39" spans="2:24">
      <c r="B39" s="19"/>
      <c r="C39" s="10"/>
      <c r="D39" s="10"/>
      <c r="E39" s="10"/>
      <c r="F39" s="10"/>
      <c r="G39" s="10"/>
      <c r="H39" s="10"/>
      <c r="I39" s="10"/>
      <c r="J39" s="10"/>
      <c r="K39" s="10"/>
      <c r="L39" s="10"/>
      <c r="M39" s="10"/>
      <c r="N39" s="10"/>
      <c r="O39" s="10"/>
      <c r="P39" s="10"/>
      <c r="Q39" s="10"/>
      <c r="R39" s="10"/>
      <c r="S39" s="10"/>
      <c r="T39" s="10"/>
      <c r="U39" s="10"/>
      <c r="V39" s="10"/>
      <c r="W39" s="10"/>
      <c r="X39" s="20"/>
    </row>
    <row r="40" spans="2:24">
      <c r="B40" s="19"/>
      <c r="C40" s="10"/>
      <c r="D40" s="10"/>
      <c r="E40" s="10"/>
      <c r="F40" s="10"/>
      <c r="G40" s="10"/>
      <c r="H40" s="10"/>
      <c r="I40" s="10"/>
      <c r="J40" s="10"/>
      <c r="K40" s="10"/>
      <c r="L40" s="10"/>
      <c r="M40" s="10"/>
      <c r="N40" s="10"/>
      <c r="O40" s="10"/>
      <c r="P40" s="10"/>
      <c r="Q40" s="10"/>
      <c r="R40" s="10"/>
      <c r="S40" s="10"/>
      <c r="T40" s="10"/>
      <c r="U40" s="10"/>
      <c r="V40" s="10"/>
      <c r="W40" s="10"/>
      <c r="X40" s="20"/>
    </row>
    <row r="41" spans="2:24">
      <c r="B41" s="19"/>
      <c r="C41" s="10"/>
      <c r="D41" s="10"/>
      <c r="E41" s="10"/>
      <c r="F41" s="10"/>
      <c r="G41" s="10"/>
      <c r="H41" s="10"/>
      <c r="I41" s="10"/>
      <c r="J41" s="10"/>
      <c r="K41" s="10"/>
      <c r="L41" s="10"/>
      <c r="M41" s="10"/>
      <c r="N41" s="10"/>
      <c r="O41" s="10"/>
      <c r="P41" s="10"/>
      <c r="Q41" s="10"/>
      <c r="R41" s="10"/>
      <c r="S41" s="10"/>
      <c r="T41" s="10"/>
      <c r="U41" s="10"/>
      <c r="V41" s="10"/>
      <c r="W41" s="10"/>
      <c r="X41" s="20"/>
    </row>
    <row r="42" spans="2:24">
      <c r="B42" s="19"/>
      <c r="C42" s="10"/>
      <c r="D42" s="10"/>
      <c r="E42" s="10"/>
      <c r="F42" s="10"/>
      <c r="G42" s="10"/>
      <c r="H42" s="10"/>
      <c r="I42" s="10"/>
      <c r="J42" s="10"/>
      <c r="K42" s="10"/>
      <c r="L42" s="10"/>
      <c r="M42" s="10"/>
      <c r="N42" s="10"/>
      <c r="O42" s="10"/>
      <c r="P42" s="10"/>
      <c r="Q42" s="10"/>
      <c r="R42" s="10"/>
      <c r="S42" s="10"/>
      <c r="T42" s="10"/>
      <c r="U42" s="10"/>
      <c r="V42" s="10"/>
      <c r="W42" s="10"/>
      <c r="X42" s="20"/>
    </row>
    <row r="43" spans="2:24">
      <c r="B43" s="19"/>
      <c r="C43" s="10"/>
      <c r="D43" s="10"/>
      <c r="E43" s="10"/>
      <c r="F43" s="10"/>
      <c r="G43" s="10"/>
      <c r="H43" s="10"/>
      <c r="I43" s="10"/>
      <c r="J43" s="10"/>
      <c r="K43" s="10"/>
      <c r="L43" s="10"/>
      <c r="M43" s="10"/>
      <c r="N43" s="10"/>
      <c r="O43" s="10"/>
      <c r="P43" s="10"/>
      <c r="Q43" s="10"/>
      <c r="R43" s="10"/>
      <c r="S43" s="10"/>
      <c r="T43" s="10"/>
      <c r="U43" s="10"/>
      <c r="V43" s="10"/>
      <c r="W43" s="10"/>
      <c r="X43" s="20"/>
    </row>
    <row r="44" spans="2:24">
      <c r="B44" s="19"/>
      <c r="C44" s="10"/>
      <c r="D44" s="10"/>
      <c r="E44" s="10"/>
      <c r="F44" s="10"/>
      <c r="G44" s="10"/>
      <c r="H44" s="10"/>
      <c r="I44" s="10"/>
      <c r="J44" s="10"/>
      <c r="K44" s="10"/>
      <c r="L44" s="10"/>
      <c r="M44" s="10"/>
      <c r="N44" s="10"/>
      <c r="O44" s="10"/>
      <c r="P44" s="10"/>
      <c r="Q44" s="10"/>
      <c r="R44" s="10"/>
      <c r="S44" s="10"/>
      <c r="T44" s="10"/>
      <c r="U44" s="10"/>
      <c r="V44" s="10"/>
      <c r="W44" s="10"/>
      <c r="X44" s="20"/>
    </row>
    <row r="45" spans="2:24">
      <c r="B45" s="19"/>
      <c r="C45" s="10"/>
      <c r="D45" s="10"/>
      <c r="E45" s="10"/>
      <c r="F45" s="10"/>
      <c r="G45" s="10"/>
      <c r="H45" s="10"/>
      <c r="I45" s="10"/>
      <c r="J45" s="10"/>
      <c r="K45" s="10"/>
      <c r="L45" s="10"/>
      <c r="M45" s="10"/>
      <c r="N45" s="10"/>
      <c r="O45" s="10"/>
      <c r="P45" s="10"/>
      <c r="Q45" s="10"/>
      <c r="R45" s="10"/>
      <c r="S45" s="10"/>
      <c r="T45" s="10"/>
      <c r="U45" s="10"/>
      <c r="V45" s="10"/>
      <c r="W45" s="10"/>
      <c r="X45" s="20"/>
    </row>
    <row r="46" spans="2:24">
      <c r="B46" s="19"/>
      <c r="C46" s="10"/>
      <c r="D46" s="10"/>
      <c r="E46" s="10"/>
      <c r="F46" s="10"/>
      <c r="G46" s="10"/>
      <c r="H46" s="10"/>
      <c r="I46" s="10"/>
      <c r="J46" s="10"/>
      <c r="K46" s="10"/>
      <c r="L46" s="10"/>
      <c r="M46" s="10"/>
      <c r="N46" s="10"/>
      <c r="O46" s="10"/>
      <c r="P46" s="10"/>
      <c r="Q46" s="10"/>
      <c r="R46" s="10"/>
      <c r="S46" s="10"/>
      <c r="T46" s="10"/>
      <c r="U46" s="10"/>
      <c r="V46" s="10"/>
      <c r="W46" s="10"/>
      <c r="X46" s="20"/>
    </row>
    <row r="47" spans="2:24">
      <c r="B47" s="19"/>
      <c r="C47" s="10"/>
      <c r="D47" s="10"/>
      <c r="E47" s="10"/>
      <c r="F47" s="10"/>
      <c r="G47" s="10"/>
      <c r="H47" s="10"/>
      <c r="I47" s="10"/>
      <c r="J47" s="10"/>
      <c r="K47" s="10"/>
      <c r="L47" s="10"/>
      <c r="M47" s="10"/>
      <c r="N47" s="10"/>
      <c r="O47" s="10"/>
      <c r="P47" s="10"/>
      <c r="Q47" s="10"/>
      <c r="R47" s="10"/>
      <c r="S47" s="10"/>
      <c r="T47" s="10"/>
      <c r="U47" s="10"/>
      <c r="V47" s="10"/>
      <c r="W47" s="10"/>
      <c r="X47" s="20"/>
    </row>
    <row r="48" spans="2:24">
      <c r="B48" s="19"/>
      <c r="C48" s="10"/>
      <c r="D48" s="10"/>
      <c r="E48" s="10"/>
      <c r="F48" s="10"/>
      <c r="G48" s="10"/>
      <c r="H48" s="10"/>
      <c r="I48" s="10"/>
      <c r="J48" s="10"/>
      <c r="K48" s="10"/>
      <c r="L48" s="10"/>
      <c r="M48" s="10"/>
      <c r="N48" s="10"/>
      <c r="O48" s="10"/>
      <c r="P48" s="10"/>
      <c r="Q48" s="10"/>
      <c r="R48" s="10"/>
      <c r="S48" s="10"/>
      <c r="T48" s="10"/>
      <c r="U48" s="10"/>
      <c r="V48" s="10"/>
      <c r="W48" s="10"/>
      <c r="X48" s="20"/>
    </row>
    <row r="49" spans="2:24">
      <c r="B49" s="19"/>
      <c r="C49" s="10"/>
      <c r="D49" s="10"/>
      <c r="E49" s="10"/>
      <c r="F49" s="10"/>
      <c r="G49" s="10"/>
      <c r="H49" s="10"/>
      <c r="I49" s="10"/>
      <c r="J49" s="10"/>
      <c r="K49" s="10"/>
      <c r="L49" s="10"/>
      <c r="M49" s="10"/>
      <c r="N49" s="10"/>
      <c r="O49" s="10"/>
      <c r="P49" s="10"/>
      <c r="Q49" s="10"/>
      <c r="R49" s="10"/>
      <c r="S49" s="10"/>
      <c r="T49" s="10"/>
      <c r="U49" s="10"/>
      <c r="V49" s="10"/>
      <c r="W49" s="10"/>
      <c r="X49" s="20"/>
    </row>
    <row r="50" spans="2:24">
      <c r="B50" s="19"/>
      <c r="C50" s="10"/>
      <c r="D50" s="10"/>
      <c r="E50" s="10"/>
      <c r="F50" s="10"/>
      <c r="G50" s="10"/>
      <c r="H50" s="10"/>
      <c r="I50" s="10"/>
      <c r="J50" s="10"/>
      <c r="K50" s="10"/>
      <c r="L50" s="10"/>
      <c r="M50" s="10"/>
      <c r="N50" s="10"/>
      <c r="O50" s="10"/>
      <c r="P50" s="10"/>
      <c r="Q50" s="10"/>
      <c r="R50" s="10"/>
      <c r="S50" s="10"/>
      <c r="T50" s="10"/>
      <c r="U50" s="10"/>
      <c r="V50" s="10"/>
      <c r="W50" s="10"/>
      <c r="X50" s="20"/>
    </row>
    <row r="51" spans="2:24">
      <c r="B51" s="19"/>
      <c r="C51" s="10"/>
      <c r="D51" s="10"/>
      <c r="E51" s="10"/>
      <c r="F51" s="10"/>
      <c r="G51" s="10"/>
      <c r="H51" s="10"/>
      <c r="I51" s="10"/>
      <c r="J51" s="10"/>
      <c r="K51" s="10"/>
      <c r="L51" s="10"/>
      <c r="M51" s="10"/>
      <c r="N51" s="10"/>
      <c r="O51" s="10"/>
      <c r="P51" s="10"/>
      <c r="Q51" s="10"/>
      <c r="R51" s="10"/>
      <c r="S51" s="10"/>
      <c r="T51" s="10"/>
      <c r="U51" s="10"/>
      <c r="V51" s="10"/>
      <c r="W51" s="10"/>
      <c r="X51" s="20"/>
    </row>
    <row r="52" spans="2:24" ht="15" thickBot="1">
      <c r="B52" s="22"/>
      <c r="C52" s="23"/>
      <c r="D52" s="23"/>
      <c r="E52" s="23"/>
      <c r="F52" s="23"/>
      <c r="G52" s="23"/>
      <c r="H52" s="23"/>
      <c r="I52" s="23"/>
      <c r="J52" s="23"/>
      <c r="K52" s="23"/>
      <c r="L52" s="23"/>
      <c r="M52" s="23"/>
      <c r="N52" s="23"/>
      <c r="O52" s="23"/>
      <c r="P52" s="23"/>
      <c r="Q52" s="23"/>
      <c r="R52" s="23"/>
      <c r="S52" s="23"/>
      <c r="T52" s="23"/>
      <c r="U52" s="23"/>
      <c r="V52" s="23"/>
      <c r="W52" s="23"/>
      <c r="X52" s="24"/>
    </row>
  </sheetData>
  <pageMargins left="0.25" right="0.25" top="0.75" bottom="0.75" header="0.3" footer="0.3"/>
  <pageSetup paperSize="9" scale="47"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Adidas-US-Interactive-Sales-Pro</vt:lpstr>
      <vt:lpstr>Sheet1</vt:lpstr>
      <vt:lpstr>Sheet2</vt:lpstr>
      <vt:lpstr>Sheet3</vt:lpstr>
      <vt:lpstr>Sheet4</vt:lpstr>
      <vt:lpstr>Pivot Tables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dc:creator>
  <cp:lastModifiedBy>Mohamed Sabry</cp:lastModifiedBy>
  <cp:lastPrinted>2026-06-10T13:33:03Z</cp:lastPrinted>
  <dcterms:created xsi:type="dcterms:W3CDTF">2026-05-16T15:47:08Z</dcterms:created>
  <dcterms:modified xsi:type="dcterms:W3CDTF">2026-06-10T15:57:38Z</dcterms:modified>
</cp:coreProperties>
</file>